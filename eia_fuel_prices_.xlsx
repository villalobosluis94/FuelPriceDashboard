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illa\Downloads\"/>
    </mc:Choice>
  </mc:AlternateContent>
  <xr:revisionPtr revIDLastSave="0" documentId="13_ncr:1_{B1946D26-0836-4BAC-B1C3-00A2C156D550}" xr6:coauthVersionLast="47" xr6:coauthVersionMax="47" xr10:uidLastSave="{00000000-0000-0000-0000-000000000000}"/>
  <bookViews>
    <workbookView xWindow="-38520" yWindow="-5475" windowWidth="38640" windowHeight="21120" tabRatio="500" xr2:uid="{00000000-000D-0000-FFFF-FFFF00000000}"/>
  </bookViews>
  <sheets>
    <sheet name="Weekly Prices" sheetId="1" r:id="rId1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44" i="1" l="1"/>
  <c r="E144" i="1"/>
  <c r="F144" i="1"/>
  <c r="G144" i="1"/>
  <c r="H144" i="1"/>
  <c r="D145" i="1"/>
  <c r="E145" i="1"/>
  <c r="F145" i="1"/>
  <c r="G145" i="1"/>
  <c r="H145" i="1"/>
  <c r="B153" i="1"/>
  <c r="B152" i="1"/>
  <c r="B151" i="1"/>
  <c r="B150" i="1"/>
  <c r="B148" i="1"/>
  <c r="B147" i="1"/>
  <c r="H143" i="1"/>
  <c r="G143" i="1"/>
  <c r="F143" i="1"/>
  <c r="E143" i="1"/>
  <c r="D143" i="1"/>
  <c r="B149" i="1" s="1"/>
  <c r="H142" i="1"/>
  <c r="G142" i="1"/>
  <c r="F142" i="1"/>
  <c r="E142" i="1"/>
  <c r="D142" i="1"/>
  <c r="H141" i="1"/>
  <c r="G141" i="1"/>
  <c r="F141" i="1"/>
  <c r="E141" i="1"/>
  <c r="D141" i="1"/>
  <c r="H140" i="1"/>
  <c r="G140" i="1"/>
  <c r="F140" i="1"/>
  <c r="E140" i="1"/>
  <c r="D140" i="1"/>
  <c r="H139" i="1"/>
  <c r="G139" i="1"/>
  <c r="F139" i="1"/>
  <c r="E139" i="1"/>
  <c r="D139" i="1"/>
  <c r="H138" i="1"/>
  <c r="G138" i="1"/>
  <c r="F138" i="1"/>
  <c r="E138" i="1"/>
  <c r="D138" i="1"/>
  <c r="H137" i="1"/>
  <c r="G137" i="1"/>
  <c r="F137" i="1"/>
  <c r="E137" i="1"/>
  <c r="D137" i="1"/>
  <c r="H136" i="1"/>
  <c r="G136" i="1"/>
  <c r="F136" i="1"/>
  <c r="E136" i="1"/>
  <c r="D136" i="1"/>
  <c r="H135" i="1"/>
  <c r="G135" i="1"/>
  <c r="F135" i="1"/>
  <c r="E135" i="1"/>
  <c r="D135" i="1"/>
  <c r="H134" i="1"/>
  <c r="G134" i="1"/>
  <c r="F134" i="1"/>
  <c r="E134" i="1"/>
  <c r="D134" i="1"/>
  <c r="H133" i="1"/>
  <c r="G133" i="1"/>
  <c r="F133" i="1"/>
  <c r="E133" i="1"/>
  <c r="D133" i="1"/>
  <c r="H132" i="1"/>
  <c r="G132" i="1"/>
  <c r="F132" i="1"/>
  <c r="E132" i="1"/>
  <c r="D132" i="1"/>
  <c r="H131" i="1"/>
  <c r="G131" i="1"/>
  <c r="F131" i="1"/>
  <c r="E131" i="1"/>
  <c r="D131" i="1"/>
  <c r="H130" i="1"/>
  <c r="G130" i="1"/>
  <c r="F130" i="1"/>
  <c r="E130" i="1"/>
  <c r="D130" i="1"/>
  <c r="H129" i="1"/>
  <c r="G129" i="1"/>
  <c r="F129" i="1"/>
  <c r="E129" i="1"/>
  <c r="D129" i="1"/>
  <c r="H128" i="1"/>
  <c r="G128" i="1"/>
  <c r="F128" i="1"/>
  <c r="E128" i="1"/>
  <c r="D128" i="1"/>
  <c r="H127" i="1"/>
  <c r="G127" i="1"/>
  <c r="F127" i="1"/>
  <c r="E127" i="1"/>
  <c r="D127" i="1"/>
  <c r="H126" i="1"/>
  <c r="G126" i="1"/>
  <c r="F126" i="1"/>
  <c r="E126" i="1"/>
  <c r="D126" i="1"/>
  <c r="H125" i="1"/>
  <c r="G125" i="1"/>
  <c r="F125" i="1"/>
  <c r="E125" i="1"/>
  <c r="D125" i="1"/>
  <c r="H124" i="1"/>
  <c r="G124" i="1"/>
  <c r="F124" i="1"/>
  <c r="E124" i="1"/>
  <c r="D124" i="1"/>
  <c r="H123" i="1"/>
  <c r="G123" i="1"/>
  <c r="F123" i="1"/>
  <c r="E123" i="1"/>
  <c r="D123" i="1"/>
  <c r="H122" i="1"/>
  <c r="G122" i="1"/>
  <c r="F122" i="1"/>
  <c r="E122" i="1"/>
  <c r="D122" i="1"/>
  <c r="H121" i="1"/>
  <c r="G121" i="1"/>
  <c r="F121" i="1"/>
  <c r="E121" i="1"/>
  <c r="D121" i="1"/>
  <c r="H120" i="1"/>
  <c r="G120" i="1"/>
  <c r="F120" i="1"/>
  <c r="E120" i="1"/>
  <c r="D120" i="1"/>
  <c r="H119" i="1"/>
  <c r="G119" i="1"/>
  <c r="F119" i="1"/>
  <c r="E119" i="1"/>
  <c r="D119" i="1"/>
  <c r="H118" i="1"/>
  <c r="G118" i="1"/>
  <c r="F118" i="1"/>
  <c r="E118" i="1"/>
  <c r="D118" i="1"/>
  <c r="H117" i="1"/>
  <c r="G117" i="1"/>
  <c r="F117" i="1"/>
  <c r="E117" i="1"/>
  <c r="D117" i="1"/>
  <c r="H116" i="1"/>
  <c r="G116" i="1"/>
  <c r="F116" i="1"/>
  <c r="E116" i="1"/>
  <c r="D116" i="1"/>
  <c r="H115" i="1"/>
  <c r="G115" i="1"/>
  <c r="F115" i="1"/>
  <c r="E115" i="1"/>
  <c r="D115" i="1"/>
  <c r="H114" i="1"/>
  <c r="G114" i="1"/>
  <c r="F114" i="1"/>
  <c r="E114" i="1"/>
  <c r="D114" i="1"/>
  <c r="H113" i="1"/>
  <c r="G113" i="1"/>
  <c r="F113" i="1"/>
  <c r="E113" i="1"/>
  <c r="D113" i="1"/>
  <c r="H112" i="1"/>
  <c r="G112" i="1"/>
  <c r="F112" i="1"/>
  <c r="E112" i="1"/>
  <c r="D112" i="1"/>
  <c r="H111" i="1"/>
  <c r="G111" i="1"/>
  <c r="F111" i="1"/>
  <c r="E111" i="1"/>
  <c r="D111" i="1"/>
  <c r="H110" i="1"/>
  <c r="G110" i="1"/>
  <c r="F110" i="1"/>
  <c r="E110" i="1"/>
  <c r="D110" i="1"/>
  <c r="H109" i="1"/>
  <c r="G109" i="1"/>
  <c r="F109" i="1"/>
  <c r="E109" i="1"/>
  <c r="D109" i="1"/>
  <c r="H108" i="1"/>
  <c r="G108" i="1"/>
  <c r="F108" i="1"/>
  <c r="E108" i="1"/>
  <c r="D108" i="1"/>
  <c r="H107" i="1"/>
  <c r="G107" i="1"/>
  <c r="F107" i="1"/>
  <c r="E107" i="1"/>
  <c r="D107" i="1"/>
  <c r="H106" i="1"/>
  <c r="G106" i="1"/>
  <c r="F106" i="1"/>
  <c r="E106" i="1"/>
  <c r="D106" i="1"/>
  <c r="H105" i="1"/>
  <c r="G105" i="1"/>
  <c r="F105" i="1"/>
  <c r="E105" i="1"/>
  <c r="D105" i="1"/>
  <c r="H104" i="1"/>
  <c r="G104" i="1"/>
  <c r="F104" i="1"/>
  <c r="E104" i="1"/>
  <c r="D104" i="1"/>
  <c r="H103" i="1"/>
  <c r="G103" i="1"/>
  <c r="F103" i="1"/>
  <c r="E103" i="1"/>
  <c r="D103" i="1"/>
  <c r="H102" i="1"/>
  <c r="G102" i="1"/>
  <c r="F102" i="1"/>
  <c r="E102" i="1"/>
  <c r="D102" i="1"/>
  <c r="H101" i="1"/>
  <c r="G101" i="1"/>
  <c r="F101" i="1"/>
  <c r="E101" i="1"/>
  <c r="D101" i="1"/>
  <c r="H100" i="1"/>
  <c r="G100" i="1"/>
  <c r="F100" i="1"/>
  <c r="E100" i="1"/>
  <c r="D100" i="1"/>
  <c r="H99" i="1"/>
  <c r="G99" i="1"/>
  <c r="F99" i="1"/>
  <c r="E99" i="1"/>
  <c r="D99" i="1"/>
  <c r="H98" i="1"/>
  <c r="G98" i="1"/>
  <c r="F98" i="1"/>
  <c r="E98" i="1"/>
  <c r="D98" i="1"/>
  <c r="H97" i="1"/>
  <c r="G97" i="1"/>
  <c r="F97" i="1"/>
  <c r="E97" i="1"/>
  <c r="D97" i="1"/>
  <c r="H96" i="1"/>
  <c r="G96" i="1"/>
  <c r="F96" i="1"/>
  <c r="E96" i="1"/>
  <c r="D96" i="1"/>
  <c r="H95" i="1"/>
  <c r="G95" i="1"/>
  <c r="F95" i="1"/>
  <c r="E95" i="1"/>
  <c r="D95" i="1"/>
  <c r="H94" i="1"/>
  <c r="G94" i="1"/>
  <c r="F94" i="1"/>
  <c r="E94" i="1"/>
  <c r="D94" i="1"/>
  <c r="H93" i="1"/>
  <c r="G93" i="1"/>
  <c r="F93" i="1"/>
  <c r="E93" i="1"/>
  <c r="D93" i="1"/>
  <c r="H92" i="1"/>
  <c r="G92" i="1"/>
  <c r="F92" i="1"/>
  <c r="E92" i="1"/>
  <c r="D92" i="1"/>
  <c r="H91" i="1"/>
  <c r="G91" i="1"/>
  <c r="F91" i="1"/>
  <c r="E91" i="1"/>
  <c r="D91" i="1"/>
  <c r="H90" i="1"/>
  <c r="G90" i="1"/>
  <c r="F90" i="1"/>
  <c r="E90" i="1"/>
  <c r="D90" i="1"/>
  <c r="H89" i="1"/>
  <c r="G89" i="1"/>
  <c r="F89" i="1"/>
  <c r="E89" i="1"/>
  <c r="D89" i="1"/>
  <c r="H88" i="1"/>
  <c r="G88" i="1"/>
  <c r="F88" i="1"/>
  <c r="E88" i="1"/>
  <c r="D88" i="1"/>
  <c r="H87" i="1"/>
  <c r="G87" i="1"/>
  <c r="F87" i="1"/>
  <c r="E87" i="1"/>
  <c r="D87" i="1"/>
  <c r="H86" i="1"/>
  <c r="G86" i="1"/>
  <c r="F86" i="1"/>
  <c r="E86" i="1"/>
  <c r="D86" i="1"/>
  <c r="H85" i="1"/>
  <c r="G85" i="1"/>
  <c r="F85" i="1"/>
  <c r="E85" i="1"/>
  <c r="D85" i="1"/>
  <c r="H84" i="1"/>
  <c r="G84" i="1"/>
  <c r="F84" i="1"/>
  <c r="E84" i="1"/>
  <c r="D84" i="1"/>
  <c r="H83" i="1"/>
  <c r="G83" i="1"/>
  <c r="F83" i="1"/>
  <c r="E83" i="1"/>
  <c r="D83" i="1"/>
  <c r="H82" i="1"/>
  <c r="G82" i="1"/>
  <c r="F82" i="1"/>
  <c r="E82" i="1"/>
  <c r="D82" i="1"/>
  <c r="H81" i="1"/>
  <c r="G81" i="1"/>
  <c r="F81" i="1"/>
  <c r="E81" i="1"/>
  <c r="D81" i="1"/>
  <c r="H80" i="1"/>
  <c r="G80" i="1"/>
  <c r="F80" i="1"/>
  <c r="E80" i="1"/>
  <c r="D80" i="1"/>
  <c r="H79" i="1"/>
  <c r="G79" i="1"/>
  <c r="F79" i="1"/>
  <c r="E79" i="1"/>
  <c r="D79" i="1"/>
  <c r="H78" i="1"/>
  <c r="G78" i="1"/>
  <c r="F78" i="1"/>
  <c r="E78" i="1"/>
  <c r="D78" i="1"/>
  <c r="H77" i="1"/>
  <c r="G77" i="1"/>
  <c r="F77" i="1"/>
  <c r="E77" i="1"/>
  <c r="D77" i="1"/>
  <c r="H76" i="1"/>
  <c r="G76" i="1"/>
  <c r="F76" i="1"/>
  <c r="E76" i="1"/>
  <c r="D76" i="1"/>
  <c r="H75" i="1"/>
  <c r="G75" i="1"/>
  <c r="F75" i="1"/>
  <c r="E75" i="1"/>
  <c r="D75" i="1"/>
  <c r="H74" i="1"/>
  <c r="G74" i="1"/>
  <c r="F74" i="1"/>
  <c r="E74" i="1"/>
  <c r="D74" i="1"/>
  <c r="H73" i="1"/>
  <c r="G73" i="1"/>
  <c r="F73" i="1"/>
  <c r="E73" i="1"/>
  <c r="D73" i="1"/>
  <c r="H72" i="1"/>
  <c r="G72" i="1"/>
  <c r="F72" i="1"/>
  <c r="E72" i="1"/>
  <c r="D72" i="1"/>
  <c r="H71" i="1"/>
  <c r="G71" i="1"/>
  <c r="F71" i="1"/>
  <c r="E71" i="1"/>
  <c r="D71" i="1"/>
  <c r="H70" i="1"/>
  <c r="G70" i="1"/>
  <c r="F70" i="1"/>
  <c r="E70" i="1"/>
  <c r="D70" i="1"/>
  <c r="H69" i="1"/>
  <c r="G69" i="1"/>
  <c r="F69" i="1"/>
  <c r="E69" i="1"/>
  <c r="D69" i="1"/>
  <c r="H68" i="1"/>
  <c r="G68" i="1"/>
  <c r="F68" i="1"/>
  <c r="E68" i="1"/>
  <c r="D68" i="1"/>
  <c r="H67" i="1"/>
  <c r="G67" i="1"/>
  <c r="F67" i="1"/>
  <c r="E67" i="1"/>
  <c r="D67" i="1"/>
  <c r="H66" i="1"/>
  <c r="G66" i="1"/>
  <c r="F66" i="1"/>
  <c r="E66" i="1"/>
  <c r="D66" i="1"/>
  <c r="H65" i="1"/>
  <c r="G65" i="1"/>
  <c r="F65" i="1"/>
  <c r="E65" i="1"/>
  <c r="D65" i="1"/>
  <c r="H64" i="1"/>
  <c r="G64" i="1"/>
  <c r="F64" i="1"/>
  <c r="E64" i="1"/>
  <c r="D64" i="1"/>
  <c r="H63" i="1"/>
  <c r="G63" i="1"/>
  <c r="F63" i="1"/>
  <c r="E63" i="1"/>
  <c r="D63" i="1"/>
  <c r="H62" i="1"/>
  <c r="G62" i="1"/>
  <c r="F62" i="1"/>
  <c r="E62" i="1"/>
  <c r="D62" i="1"/>
  <c r="H61" i="1"/>
  <c r="G61" i="1"/>
  <c r="F61" i="1"/>
  <c r="E61" i="1"/>
  <c r="D61" i="1"/>
  <c r="H60" i="1"/>
  <c r="G60" i="1"/>
  <c r="F60" i="1"/>
  <c r="E60" i="1"/>
  <c r="D60" i="1"/>
  <c r="H59" i="1"/>
  <c r="G59" i="1"/>
  <c r="F59" i="1"/>
  <c r="E59" i="1"/>
  <c r="D59" i="1"/>
  <c r="H58" i="1"/>
  <c r="G58" i="1"/>
  <c r="F58" i="1"/>
  <c r="E58" i="1"/>
  <c r="D58" i="1"/>
  <c r="H57" i="1"/>
  <c r="G57" i="1"/>
  <c r="F57" i="1"/>
  <c r="E57" i="1"/>
  <c r="D57" i="1"/>
  <c r="H56" i="1"/>
  <c r="G56" i="1"/>
  <c r="F56" i="1"/>
  <c r="E56" i="1"/>
  <c r="D56" i="1"/>
  <c r="H55" i="1"/>
  <c r="G55" i="1"/>
  <c r="F55" i="1"/>
  <c r="E55" i="1"/>
  <c r="D55" i="1"/>
  <c r="H54" i="1"/>
  <c r="G54" i="1"/>
  <c r="F54" i="1"/>
  <c r="E54" i="1"/>
  <c r="D54" i="1"/>
  <c r="H53" i="1"/>
  <c r="G53" i="1"/>
  <c r="F53" i="1"/>
  <c r="E53" i="1"/>
  <c r="D53" i="1"/>
  <c r="H52" i="1"/>
  <c r="G52" i="1"/>
  <c r="F52" i="1"/>
  <c r="E52" i="1"/>
  <c r="D52" i="1"/>
  <c r="H51" i="1"/>
  <c r="G51" i="1"/>
  <c r="F51" i="1"/>
  <c r="E51" i="1"/>
  <c r="D51" i="1"/>
  <c r="H50" i="1"/>
  <c r="G50" i="1"/>
  <c r="F50" i="1"/>
  <c r="E50" i="1"/>
  <c r="D50" i="1"/>
  <c r="H49" i="1"/>
  <c r="G49" i="1"/>
  <c r="F49" i="1"/>
  <c r="E49" i="1"/>
  <c r="D49" i="1"/>
  <c r="H48" i="1"/>
  <c r="G48" i="1"/>
  <c r="F48" i="1"/>
  <c r="E48" i="1"/>
  <c r="D48" i="1"/>
  <c r="H47" i="1"/>
  <c r="G47" i="1"/>
  <c r="F47" i="1"/>
  <c r="E47" i="1"/>
  <c r="D47" i="1"/>
  <c r="H46" i="1"/>
  <c r="G46" i="1"/>
  <c r="F46" i="1"/>
  <c r="E46" i="1"/>
  <c r="D46" i="1"/>
  <c r="H45" i="1"/>
  <c r="G45" i="1"/>
  <c r="F45" i="1"/>
  <c r="E45" i="1"/>
  <c r="D45" i="1"/>
  <c r="H44" i="1"/>
  <c r="G44" i="1"/>
  <c r="F44" i="1"/>
  <c r="E44" i="1"/>
  <c r="D44" i="1"/>
  <c r="H43" i="1"/>
  <c r="G43" i="1"/>
  <c r="F43" i="1"/>
  <c r="E43" i="1"/>
  <c r="D43" i="1"/>
  <c r="H42" i="1"/>
  <c r="G42" i="1"/>
  <c r="F42" i="1"/>
  <c r="E42" i="1"/>
  <c r="D42" i="1"/>
  <c r="H41" i="1"/>
  <c r="G41" i="1"/>
  <c r="F41" i="1"/>
  <c r="E41" i="1"/>
  <c r="D41" i="1"/>
  <c r="H40" i="1"/>
  <c r="G40" i="1"/>
  <c r="F40" i="1"/>
  <c r="E40" i="1"/>
  <c r="D40" i="1"/>
  <c r="H39" i="1"/>
  <c r="G39" i="1"/>
  <c r="F39" i="1"/>
  <c r="E39" i="1"/>
  <c r="D39" i="1"/>
  <c r="H38" i="1"/>
  <c r="G38" i="1"/>
  <c r="F38" i="1"/>
  <c r="E38" i="1"/>
  <c r="D38" i="1"/>
  <c r="H37" i="1"/>
  <c r="G37" i="1"/>
  <c r="F37" i="1"/>
  <c r="E37" i="1"/>
  <c r="D37" i="1"/>
  <c r="H36" i="1"/>
  <c r="G36" i="1"/>
  <c r="F36" i="1"/>
  <c r="E36" i="1"/>
  <c r="D36" i="1"/>
  <c r="H35" i="1"/>
  <c r="G35" i="1"/>
  <c r="F35" i="1"/>
  <c r="E35" i="1"/>
  <c r="D35" i="1"/>
  <c r="H34" i="1"/>
  <c r="G34" i="1"/>
  <c r="F34" i="1"/>
  <c r="E34" i="1"/>
  <c r="D34" i="1"/>
  <c r="H33" i="1"/>
  <c r="G33" i="1"/>
  <c r="F33" i="1"/>
  <c r="E33" i="1"/>
  <c r="D33" i="1"/>
  <c r="H32" i="1"/>
  <c r="G32" i="1"/>
  <c r="F32" i="1"/>
  <c r="E32" i="1"/>
  <c r="D32" i="1"/>
  <c r="H31" i="1"/>
  <c r="G31" i="1"/>
  <c r="F31" i="1"/>
  <c r="E31" i="1"/>
  <c r="D31" i="1"/>
  <c r="H30" i="1"/>
  <c r="G30" i="1"/>
  <c r="F30" i="1"/>
  <c r="E30" i="1"/>
  <c r="D30" i="1"/>
  <c r="H29" i="1"/>
  <c r="G29" i="1"/>
  <c r="F29" i="1"/>
  <c r="E29" i="1"/>
  <c r="D29" i="1"/>
  <c r="H28" i="1"/>
  <c r="G28" i="1"/>
  <c r="F28" i="1"/>
  <c r="E28" i="1"/>
  <c r="D28" i="1"/>
  <c r="H27" i="1"/>
  <c r="G27" i="1"/>
  <c r="F27" i="1"/>
  <c r="E27" i="1"/>
  <c r="D27" i="1"/>
  <c r="H26" i="1"/>
  <c r="G26" i="1"/>
  <c r="F26" i="1"/>
  <c r="E26" i="1"/>
  <c r="D26" i="1"/>
  <c r="H25" i="1"/>
  <c r="G25" i="1"/>
  <c r="F25" i="1"/>
  <c r="E25" i="1"/>
  <c r="D25" i="1"/>
  <c r="H24" i="1"/>
  <c r="G24" i="1"/>
  <c r="F24" i="1"/>
  <c r="E24" i="1"/>
  <c r="D24" i="1"/>
  <c r="H23" i="1"/>
  <c r="G23" i="1"/>
  <c r="F23" i="1"/>
  <c r="E23" i="1"/>
  <c r="D23" i="1"/>
  <c r="H22" i="1"/>
  <c r="G22" i="1"/>
  <c r="F22" i="1"/>
  <c r="E22" i="1"/>
  <c r="D22" i="1"/>
  <c r="H21" i="1"/>
  <c r="G21" i="1"/>
  <c r="F21" i="1"/>
  <c r="E21" i="1"/>
  <c r="D21" i="1"/>
  <c r="H20" i="1"/>
  <c r="G20" i="1"/>
  <c r="F20" i="1"/>
  <c r="E20" i="1"/>
  <c r="D20" i="1"/>
  <c r="H19" i="1"/>
  <c r="G19" i="1"/>
  <c r="F19" i="1"/>
  <c r="E19" i="1"/>
  <c r="D19" i="1"/>
  <c r="H18" i="1"/>
  <c r="G18" i="1"/>
  <c r="F18" i="1"/>
  <c r="E18" i="1"/>
  <c r="D18" i="1"/>
  <c r="H17" i="1"/>
  <c r="G17" i="1"/>
  <c r="F17" i="1"/>
  <c r="E17" i="1"/>
  <c r="D17" i="1"/>
  <c r="H16" i="1"/>
  <c r="G16" i="1"/>
  <c r="F16" i="1"/>
  <c r="E16" i="1"/>
  <c r="D16" i="1"/>
  <c r="H15" i="1"/>
  <c r="G15" i="1"/>
  <c r="F15" i="1"/>
  <c r="E15" i="1"/>
  <c r="D15" i="1"/>
  <c r="H14" i="1"/>
  <c r="G14" i="1"/>
  <c r="F14" i="1"/>
  <c r="E14" i="1"/>
  <c r="D14" i="1"/>
  <c r="H13" i="1"/>
  <c r="G13" i="1"/>
  <c r="F13" i="1"/>
  <c r="E13" i="1"/>
  <c r="D13" i="1"/>
  <c r="H12" i="1"/>
  <c r="G12" i="1"/>
  <c r="F12" i="1"/>
  <c r="E12" i="1"/>
  <c r="D12" i="1"/>
  <c r="H11" i="1"/>
  <c r="G11" i="1"/>
  <c r="F11" i="1"/>
  <c r="E11" i="1"/>
  <c r="D11" i="1"/>
  <c r="H10" i="1"/>
  <c r="G10" i="1"/>
  <c r="F10" i="1"/>
  <c r="E10" i="1"/>
  <c r="D10" i="1"/>
  <c r="H9" i="1"/>
  <c r="G9" i="1"/>
  <c r="F9" i="1"/>
  <c r="E9" i="1"/>
  <c r="D9" i="1"/>
  <c r="H8" i="1"/>
  <c r="G8" i="1"/>
  <c r="F8" i="1"/>
  <c r="E8" i="1"/>
  <c r="D8" i="1"/>
  <c r="H7" i="1"/>
  <c r="G7" i="1"/>
  <c r="F7" i="1"/>
  <c r="E7" i="1"/>
  <c r="D7" i="1"/>
  <c r="H6" i="1"/>
  <c r="G6" i="1"/>
  <c r="F6" i="1"/>
  <c r="E6" i="1"/>
  <c r="D6" i="1"/>
  <c r="H5" i="1"/>
  <c r="G5" i="1"/>
  <c r="F5" i="1"/>
  <c r="E5" i="1"/>
  <c r="D5" i="1"/>
  <c r="F4" i="1"/>
  <c r="E4" i="1"/>
  <c r="D4" i="1"/>
  <c r="F3" i="1"/>
  <c r="E3" i="1"/>
  <c r="D3" i="1"/>
  <c r="D2" i="1"/>
</calcChain>
</file>

<file path=xl/sharedStrings.xml><?xml version="1.0" encoding="utf-8"?>
<sst xmlns="http://schemas.openxmlformats.org/spreadsheetml/2006/main" count="127" uniqueCount="127">
  <si>
    <t>Week Ending</t>
  </si>
  <si>
    <t>Regular Gasoline ($/gal)</t>
  </si>
  <si>
    <t>Diesel ($/gal)</t>
  </si>
  <si>
    <t>Diesel-Gasoline Spread ($/gal)</t>
  </si>
  <si>
    <t>Gasoline WoW Change (%)</t>
  </si>
  <si>
    <t>Diesel WoW Change (%)</t>
  </si>
  <si>
    <t>Gasoline 4-Wk Avg ($/gal)</t>
  </si>
  <si>
    <t>Diesel 4-Wk Avg ($/gal)</t>
  </si>
  <si>
    <t>2024-01-01</t>
  </si>
  <si>
    <t>2024-01-08</t>
  </si>
  <si>
    <t>2024-01-15</t>
  </si>
  <si>
    <t>2024-01-22</t>
  </si>
  <si>
    <t>2024-01-29</t>
  </si>
  <si>
    <t>2024-02-05</t>
  </si>
  <si>
    <t>2024-02-12</t>
  </si>
  <si>
    <t>2024-02-19</t>
  </si>
  <si>
    <t>2024-02-26</t>
  </si>
  <si>
    <t>2024-03-04</t>
  </si>
  <si>
    <t>2024-03-11</t>
  </si>
  <si>
    <t>2024-03-18</t>
  </si>
  <si>
    <t>2024-03-25</t>
  </si>
  <si>
    <t>2024-04-01</t>
  </si>
  <si>
    <t>2024-04-08</t>
  </si>
  <si>
    <t>2024-04-15</t>
  </si>
  <si>
    <t>2024-04-22</t>
  </si>
  <si>
    <t>2024-04-29</t>
  </si>
  <si>
    <t>2024-05-06</t>
  </si>
  <si>
    <t>2024-05-13</t>
  </si>
  <si>
    <t>2024-05-20</t>
  </si>
  <si>
    <t>2024-05-27</t>
  </si>
  <si>
    <t>2024-06-03</t>
  </si>
  <si>
    <t>2024-06-10</t>
  </si>
  <si>
    <t>2024-06-17</t>
  </si>
  <si>
    <t>2024-06-24</t>
  </si>
  <si>
    <t>2024-07-01</t>
  </si>
  <si>
    <t>2024-07-08</t>
  </si>
  <si>
    <t>2024-07-15</t>
  </si>
  <si>
    <t>2024-07-22</t>
  </si>
  <si>
    <t>2024-07-29</t>
  </si>
  <si>
    <t>2024-08-05</t>
  </si>
  <si>
    <t>2024-08-12</t>
  </si>
  <si>
    <t>2024-08-19</t>
  </si>
  <si>
    <t>2024-08-26</t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</si>
  <si>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</si>
  <si>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</si>
  <si>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</si>
  <si>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</si>
  <si>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</si>
  <si>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</si>
  <si>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</si>
  <si>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</si>
  <si>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</si>
  <si>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</si>
  <si>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</si>
  <si>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</si>
  <si>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</si>
  <si>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</si>
  <si>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</si>
  <si>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</si>
  <si>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</si>
  <si>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</si>
  <si>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</si>
  <si>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</si>
  <si>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</si>
  <si>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</si>
  <si>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</si>
  <si>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</si>
  <si>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</si>
  <si>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</si>
  <si>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</si>
  <si>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</si>
  <si>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</si>
  <si>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</si>
  <si>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</si>
  <si>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</si>
  <si>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</si>
  <si>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</si>
  <si>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</si>
  <si>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</si>
  <si>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</si>
  <si>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</si>
  <si>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</si>
  <si>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</si>
  <si>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</si>
  <si>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</si>
  <si>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</si>
  <si>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</si>
  <si>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</si>
  <si>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</si>
  <si>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</si>
  <si>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</si>
  <si>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</si>
  <si>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</si>
  <si>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</si>
  <si>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</si>
  <si>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</si>
  <si>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</si>
  <si>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</si>
  <si>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</si>
  <si>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</si>
  <si>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</si>
  <si>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</si>
  <si>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</si>
  <si>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</si>
  <si>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</si>
  <si>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</si>
  <si>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</si>
  <si>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</si>
  <si>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</si>
  <si>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</si>
  <si>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</si>
  <si>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</si>
  <si>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</si>
  <si>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</si>
  <si>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</si>
  <si>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</si>
  <si>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</si>
  <si>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</si>
  <si>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</si>
  <si>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Summary Stats</t>
  </si>
  <si>
    <t>Latest Gasoline Price</t>
  </si>
  <si>
    <t>Latest Diesel Price</t>
  </si>
  <si>
    <t>Latest Spread</t>
  </si>
  <si>
    <t>Avg Gasoline (full period)</t>
  </si>
  <si>
    <t>Avg Diesel (full period)</t>
  </si>
  <si>
    <t>Max Diesel (full period)</t>
  </si>
  <si>
    <t>Min Diesel (full period)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</si>
</sst>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0"/>
    <numFmt numFmtId="165" formatCode="0.0%"/>
  </numFmts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2"/>
      <name val="Arial"/>
      <charset val="1"/>
    </font>
    <font>
      <b/>
      <sz val="10"/>
      <name val="Arial"/>
      <charset val="1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wrapText="1"/>
    </xf>
    <xf numFmtId="164" fontId="2" fillId="0" borderId="1" xfId="0" applyNumberFormat="1" applyFont="1" applyBorder="1"/>
    <xf numFmtId="165" fontId="0" fillId="0" borderId="1" xfId="0" applyNumberFormat="1" applyBorder="1"/>
    <xf numFmtId="164" fontId="0" fillId="0" borderId="1" xfId="0" applyNumberFormat="1" applyBorder="1"/>
    <xf numFmtId="165" fontId="2" fillId="0" borderId="1" xfId="0" applyNumberFormat="1" applyFont="1" applyBorder="1"/>
    <xf numFmtId="0" fontId="3" fillId="0" borderId="0" xfId="0" applyFont="1"/>
    <xf numFmtId="0" fontId="2" fillId="0" borderId="0" xfId="0" applyFont="1"/>
    <xf numFmtId="164" fontId="4" fillId="0" borderId="0" xfId="0" applyNumberFormat="1" applyFont="1"/>
    <xf numFmtId="1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Weekly U.S. Retail Fuel Prices (National Avg)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'Weekly Prices'!$B$1</c:f>
              <c:strCache>
                <c:ptCount val="1"/>
                <c:pt idx="0">
                  <c:v>Regular Gasoline ($/gal)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Prices'!$A$2:$A$143</c:f>
              <c:strCache>
                <c:ptCount val="142"/>
                <c:pt idx="0">
                  <c:v>2024-01-01</c:v>
                </c:pt>
                <c:pt idx="1">
                  <c:v>2024-01-08</c:v>
                </c:pt>
                <c:pt idx="2">
                  <c:v>2024-01-15</c:v>
                </c:pt>
                <c:pt idx="3">
                  <c:v>2024-01-22</c:v>
                </c:pt>
                <c:pt idx="4">
                  <c:v>2024-01-29</c:v>
                </c:pt>
                <c:pt idx="5">
                  <c:v>2024-02-05</c:v>
                </c:pt>
                <c:pt idx="6">
                  <c:v>2024-02-12</c:v>
                </c:pt>
                <c:pt idx="7">
                  <c:v>2024-02-19</c:v>
                </c:pt>
                <c:pt idx="8">
                  <c:v>2024-02-26</c:v>
                </c:pt>
                <c:pt idx="9">
                  <c:v>2024-03-04</c:v>
                </c:pt>
                <c:pt idx="10">
                  <c:v>2024-03-11</c:v>
                </c:pt>
                <c:pt idx="11">
                  <c:v>2024-03-18</c:v>
                </c:pt>
                <c:pt idx="12">
                  <c:v>2024-03-25</c:v>
                </c:pt>
                <c:pt idx="13">
                  <c:v>2024-04-01</c:v>
                </c:pt>
                <c:pt idx="14">
                  <c:v>2024-04-08</c:v>
                </c:pt>
                <c:pt idx="15">
                  <c:v>2024-04-15</c:v>
                </c:pt>
                <c:pt idx="16">
                  <c:v>2024-04-22</c:v>
                </c:pt>
                <c:pt idx="17">
                  <c:v>2024-04-29</c:v>
                </c:pt>
                <c:pt idx="18">
                  <c:v>2024-05-06</c:v>
                </c:pt>
                <c:pt idx="19">
                  <c:v>2024-05-13</c:v>
                </c:pt>
                <c:pt idx="20">
                  <c:v>2024-05-20</c:v>
                </c:pt>
                <c:pt idx="21">
                  <c:v>2024-05-27</c:v>
                </c:pt>
                <c:pt idx="22">
                  <c:v>2024-06-03</c:v>
                </c:pt>
                <c:pt idx="23">
                  <c:v>2024-06-10</c:v>
                </c:pt>
                <c:pt idx="24">
                  <c:v>2024-06-17</c:v>
                </c:pt>
                <c:pt idx="25">
                  <c:v>2024-06-24</c:v>
                </c:pt>
                <c:pt idx="26">
                  <c:v>2024-07-01</c:v>
                </c:pt>
                <c:pt idx="27">
                  <c:v>2024-07-08</c:v>
                </c:pt>
                <c:pt idx="28">
                  <c:v>2024-07-15</c:v>
                </c:pt>
                <c:pt idx="29">
                  <c:v>2024-07-22</c:v>
                </c:pt>
                <c:pt idx="30">
                  <c:v>2024-07-29</c:v>
                </c:pt>
                <c:pt idx="31">
                  <c:v>2024-08-05</c:v>
                </c:pt>
                <c:pt idx="32">
                  <c:v>2024-08-12</c:v>
                </c:pt>
                <c:pt idx="33">
                  <c:v>2024-08-19</c:v>
                </c:pt>
                <c:pt idx="34">
                  <c:v>2024-08-26</c:v>
                </c:pt>
                <c:pt idx="35">
                  <c:v>2024-09-02</c:v>
                </c:pt>
                <c:pt idx="36">
                  <c:v>2024-09-09</c:v>
                </c:pt>
                <c:pt idx="37">
                  <c:v>2024-09-16</c:v>
                </c:pt>
                <c:pt idx="38">
                  <c:v>2024-09-23</c:v>
                </c:pt>
                <c:pt idx="39">
                  <c:v>2024-09-30</c:v>
                </c:pt>
                <c:pt idx="40">
                  <c:v>2024-10-07</c:v>
                </c:pt>
                <c:pt idx="41">
                  <c:v>2024-10-14</c:v>
                </c:pt>
                <c:pt idx="42">
                  <c:v>2024-10-21</c:v>
                </c:pt>
                <c:pt idx="43">
                  <c:v>2024-10-28</c:v>
                </c:pt>
                <c:pt idx="44">
                  <c:v>2024-11-04</c:v>
                </c:pt>
                <c:pt idx="45">
                  <c:v>2024-11-11</c:v>
                </c:pt>
                <c:pt idx="46">
                  <c:v>2024-11-18</c:v>
                </c:pt>
                <c:pt idx="47">
                  <c:v>2024-11-25</c:v>
                </c:pt>
                <c:pt idx="48">
                  <c:v>2024-12-02</c:v>
                </c:pt>
                <c:pt idx="49">
                  <c:v>2024-12-09</c:v>
                </c:pt>
                <c:pt idx="50">
                  <c:v>2024-12-16</c:v>
                </c:pt>
                <c:pt idx="51">
                  <c:v>2024-12-23</c:v>
                </c:pt>
                <c:pt idx="52">
                  <c:v>2024-12-30</c:v>
                </c:pt>
                <c:pt idx="53">
                  <c:v>2025-01-06</c:v>
                </c:pt>
                <c:pt idx="54">
                  <c:v>2025-01-13</c:v>
                </c:pt>
                <c:pt idx="55">
                  <c:v>2025-01-20</c:v>
                </c:pt>
                <c:pt idx="56">
                  <c:v>2025-01-27</c:v>
                </c:pt>
                <c:pt idx="57">
                  <c:v>2025-02-03</c:v>
                </c:pt>
                <c:pt idx="58">
                  <c:v>2025-02-10</c:v>
                </c:pt>
                <c:pt idx="59">
                  <c:v>2025-02-17</c:v>
                </c:pt>
                <c:pt idx="60">
                  <c:v>2025-02-24</c:v>
                </c:pt>
                <c:pt idx="61">
                  <c:v>2025-03-03</c:v>
                </c:pt>
                <c:pt idx="62">
                  <c:v>2025-03-10</c:v>
                </c:pt>
                <c:pt idx="63">
                  <c:v>2025-03-17</c:v>
                </c:pt>
                <c:pt idx="64">
                  <c:v>2025-03-24</c:v>
                </c:pt>
                <c:pt idx="65">
                  <c:v>2025-03-31</c:v>
                </c:pt>
                <c:pt idx="66">
                  <c:v>2025-04-07</c:v>
                </c:pt>
                <c:pt idx="67">
                  <c:v>2025-04-14</c:v>
                </c:pt>
                <c:pt idx="68">
                  <c:v>2025-04-21</c:v>
                </c:pt>
                <c:pt idx="69">
                  <c:v>2025-04-28</c:v>
                </c:pt>
                <c:pt idx="70">
                  <c:v>2025-05-05</c:v>
                </c:pt>
                <c:pt idx="71">
                  <c:v>2025-05-12</c:v>
                </c:pt>
                <c:pt idx="72">
                  <c:v>2025-05-19</c:v>
                </c:pt>
                <c:pt idx="73">
                  <c:v>2025-05-26</c:v>
                </c:pt>
                <c:pt idx="74">
                  <c:v>2025-06-02</c:v>
                </c:pt>
                <c:pt idx="75">
                  <c:v>2025-06-09</c:v>
                </c:pt>
                <c:pt idx="76">
                  <c:v>2025-06-16</c:v>
                </c:pt>
                <c:pt idx="77">
                  <c:v>2025-06-23</c:v>
                </c:pt>
                <c:pt idx="78">
                  <c:v>2025-06-30</c:v>
                </c:pt>
                <c:pt idx="79">
                  <c:v>2025-07-07</c:v>
                </c:pt>
                <c:pt idx="80">
                  <c:v>2025-07-14</c:v>
                </c:pt>
                <c:pt idx="81">
                  <c:v>2025-07-21</c:v>
                </c:pt>
                <c:pt idx="82">
                  <c:v>2025-07-28</c:v>
                </c:pt>
                <c:pt idx="83">
                  <c:v>2025-08-04</c:v>
                </c:pt>
                <c:pt idx="84">
                  <c:v>2025-08-11</c:v>
                </c:pt>
                <c:pt idx="85">
                  <c:v>2025-08-18</c:v>
                </c:pt>
                <c:pt idx="86">
                  <c:v>2025-08-25</c:v>
                </c:pt>
                <c:pt idx="87">
                  <c:v>2025-09-01</c:v>
                </c:pt>
                <c:pt idx="88">
                  <c:v>2025-09-08</c:v>
                </c:pt>
                <c:pt idx="89">
                  <c:v>2025-09-15</c:v>
                </c:pt>
                <c:pt idx="90">
                  <c:v>2025-09-22</c:v>
                </c:pt>
                <c:pt idx="91">
                  <c:v>2025-09-29</c:v>
                </c:pt>
                <c:pt idx="92">
                  <c:v>2025-10-06</c:v>
                </c:pt>
                <c:pt idx="93">
                  <c:v>2025-10-13</c:v>
                </c:pt>
                <c:pt idx="94">
                  <c:v>2025-10-20</c:v>
                </c:pt>
                <c:pt idx="95">
                  <c:v>2025-10-27</c:v>
                </c:pt>
                <c:pt idx="96">
                  <c:v>2025-11-03</c:v>
                </c:pt>
                <c:pt idx="97">
                  <c:v>2025-11-10</c:v>
                </c:pt>
                <c:pt idx="98">
                  <c:v>2025-11-17</c:v>
                </c:pt>
                <c:pt idx="99">
                  <c:v>2025-11-24</c:v>
                </c:pt>
                <c:pt idx="100">
                  <c:v>2025-12-01</c:v>
                </c:pt>
                <c:pt idx="101">
                  <c:v>2025-12-08</c:v>
                </c:pt>
                <c:pt idx="102">
                  <c:v>2025-12-15</c:v>
                </c:pt>
                <c:pt idx="103">
                  <c:v>2025-12-22</c:v>
                </c:pt>
                <c:pt idx="104">
                  <c:v>2025-12-29</c:v>
                </c:pt>
                <c:pt idx="105">
                  <c:v>2026-01-05</c:v>
                </c:pt>
                <c:pt idx="106">
                  <c:v>2026-01-12</c:v>
                </c:pt>
                <c:pt idx="107">
                  <c:v>2026-01-19</c:v>
                </c:pt>
                <c:pt idx="108">
                  <c:v>2026-01-26</c:v>
                </c:pt>
                <c:pt idx="109">
                  <c:v>2026-02-02</c:v>
                </c:pt>
                <c:pt idx="110">
                  <c:v>2026-02-09</c:v>
                </c:pt>
                <c:pt idx="111">
                  <c:v>2/16/2026</c:v>
                </c:pt>
                <c:pt idx="112">
                  <c:v>2/23/2026</c:v>
                </c:pt>
                <c:pt idx="113">
                  <c:v>3/2/2026</c:v>
                </c:pt>
                <c:pt idx="114">
                  <c:v>3/9/2026</c:v>
                </c:pt>
                <c:pt idx="115">
                  <c:v>3/16/2026</c:v>
                </c:pt>
                <c:pt idx="116">
                  <c:v>3/23/2026</c:v>
                </c:pt>
                <c:pt idx="117">
                  <c:v>3/30/2026</c:v>
                </c:pt>
                <c:pt idx="118">
                  <c:v>4/6/2026</c:v>
                </c:pt>
                <c:pt idx="119">
                  <c:v>4/13/2026</c:v>
                </c:pt>
                <c:pt idx="120">
                  <c:v>4/20/2026</c:v>
                </c:pt>
                <c:pt idx="121">
                  <c:v>4/27/2026</c:v>
                </c:pt>
                <c:pt idx="122">
                  <c:v>5/4/2026</c:v>
                </c:pt>
                <c:pt idx="123">
                  <c:v>5/11/2026</c:v>
                </c:pt>
                <c:pt idx="124">
                  <c:v>5/18/2026</c:v>
                </c:pt>
                <c:pt idx="125">
                  <c:v>5/25/2026</c:v>
                </c:pt>
                <c:pt idx="126">
                  <c:v>6/1/2026</c:v>
                </c:pt>
                <c:pt idx="127">
                  <c:v>6/8/2026</c:v>
                </c:pt>
                <c:pt idx="128">
                  <c:v>6/15/2026</c:v>
                </c:pt>
                <c:pt idx="129">
                  <c:v>6/22/2026</c:v>
                </c:pt>
                <c:pt idx="130">
                  <c:v>6/29/2026</c:v>
                </c:pt>
                <c:pt idx="131">
                  <c:v>7/6/2026</c:v>
                </c:pt>
                <c:pt idx="132">
                  <c:v>7/13/2026</c:v>
                </c:pt>
                <c:pt idx="133">
                  <c:v>7/20/2026</c:v>
                </c:pt>
                <c:pt idx="134">
                  <c:v>7/27/2026</c:v>
                </c:pt>
                <c:pt idx="135">
                  <c:v>8/3/2026</c:v>
                </c:pt>
                <c:pt idx="136">
                  <c:v>8/10/2026</c:v>
                </c:pt>
                <c:pt idx="137">
                  <c:v>8/17/2026</c:v>
                </c:pt>
                <c:pt idx="138">
                  <c:v>8/24/2026</c:v>
                </c:pt>
                <c:pt idx="139">
                  <c:v>8/31/2026</c:v>
                </c:pt>
                <c:pt idx="140">
                  <c:v>9/7/2026</c:v>
                </c:pt>
                <c:pt idx="141">
                  <c:v>9/14/2026</c:v>
                </c:pt>
              </c:strCache>
            </c:strRef>
          </c:cat>
          <c:val>
            <c:numRef>
              <c:f>'Weekly Prices'!$B$2:$B$143</c:f>
              <c:numCache>
                <c:formatCode>\$#,##0.000</c:formatCode>
                <c:ptCount val="142"/>
                <c:pt idx="0">
                  <c:v>3.089</c:v>
                </c:pt>
                <c:pt idx="1">
                  <c:v>3.073</c:v>
                </c:pt>
                <c:pt idx="2">
                  <c:v>3.0579999999999998</c:v>
                </c:pt>
                <c:pt idx="3">
                  <c:v>3.0619999999999998</c:v>
                </c:pt>
                <c:pt idx="4">
                  <c:v>3.0950000000000002</c:v>
                </c:pt>
                <c:pt idx="5">
                  <c:v>3.1360000000000001</c:v>
                </c:pt>
                <c:pt idx="6">
                  <c:v>3.1920000000000002</c:v>
                </c:pt>
                <c:pt idx="7">
                  <c:v>3.2690000000000001</c:v>
                </c:pt>
                <c:pt idx="8">
                  <c:v>3.2490000000000001</c:v>
                </c:pt>
                <c:pt idx="9">
                  <c:v>3.35</c:v>
                </c:pt>
                <c:pt idx="10">
                  <c:v>3.3759999999999999</c:v>
                </c:pt>
                <c:pt idx="11">
                  <c:v>3.4529999999999998</c:v>
                </c:pt>
                <c:pt idx="12">
                  <c:v>3.5230000000000001</c:v>
                </c:pt>
                <c:pt idx="13">
                  <c:v>3.5169999999999999</c:v>
                </c:pt>
                <c:pt idx="14">
                  <c:v>3.5910000000000002</c:v>
                </c:pt>
                <c:pt idx="15">
                  <c:v>3.6280000000000001</c:v>
                </c:pt>
                <c:pt idx="16">
                  <c:v>3.6680000000000001</c:v>
                </c:pt>
                <c:pt idx="17">
                  <c:v>3.653</c:v>
                </c:pt>
                <c:pt idx="18">
                  <c:v>3.6429999999999998</c:v>
                </c:pt>
                <c:pt idx="19">
                  <c:v>3.6080000000000001</c:v>
                </c:pt>
                <c:pt idx="20">
                  <c:v>3.5840000000000001</c:v>
                </c:pt>
                <c:pt idx="21">
                  <c:v>3.577</c:v>
                </c:pt>
                <c:pt idx="22">
                  <c:v>3.516</c:v>
                </c:pt>
                <c:pt idx="23">
                  <c:v>3.4289999999999998</c:v>
                </c:pt>
                <c:pt idx="24">
                  <c:v>3.4350000000000001</c:v>
                </c:pt>
                <c:pt idx="25">
                  <c:v>3.4380000000000002</c:v>
                </c:pt>
                <c:pt idx="26">
                  <c:v>3.4790000000000001</c:v>
                </c:pt>
                <c:pt idx="27">
                  <c:v>3.4889999999999999</c:v>
                </c:pt>
                <c:pt idx="28">
                  <c:v>3.496</c:v>
                </c:pt>
                <c:pt idx="29">
                  <c:v>3.4710000000000001</c:v>
                </c:pt>
                <c:pt idx="30">
                  <c:v>3.484</c:v>
                </c:pt>
                <c:pt idx="31">
                  <c:v>3.448</c:v>
                </c:pt>
                <c:pt idx="32">
                  <c:v>3.4140000000000001</c:v>
                </c:pt>
                <c:pt idx="33">
                  <c:v>3.3820000000000001</c:v>
                </c:pt>
                <c:pt idx="34">
                  <c:v>3.3130000000000002</c:v>
                </c:pt>
                <c:pt idx="35">
                  <c:v>3.2890000000000001</c:v>
                </c:pt>
                <c:pt idx="36">
                  <c:v>3.2360000000000002</c:v>
                </c:pt>
                <c:pt idx="37">
                  <c:v>3.18</c:v>
                </c:pt>
                <c:pt idx="38">
                  <c:v>3.1850000000000001</c:v>
                </c:pt>
                <c:pt idx="39">
                  <c:v>3.1789999999999998</c:v>
                </c:pt>
                <c:pt idx="40">
                  <c:v>3.1360000000000001</c:v>
                </c:pt>
                <c:pt idx="41">
                  <c:v>3.1709999999999998</c:v>
                </c:pt>
                <c:pt idx="42">
                  <c:v>3.1440000000000001</c:v>
                </c:pt>
                <c:pt idx="43">
                  <c:v>3.097</c:v>
                </c:pt>
                <c:pt idx="44">
                  <c:v>3.069</c:v>
                </c:pt>
                <c:pt idx="45">
                  <c:v>3.052</c:v>
                </c:pt>
                <c:pt idx="46">
                  <c:v>3.0459999999999998</c:v>
                </c:pt>
                <c:pt idx="47">
                  <c:v>3.044</c:v>
                </c:pt>
                <c:pt idx="48">
                  <c:v>3.0339999999999998</c:v>
                </c:pt>
                <c:pt idx="49">
                  <c:v>3.008</c:v>
                </c:pt>
                <c:pt idx="50">
                  <c:v>3.016</c:v>
                </c:pt>
                <c:pt idx="51">
                  <c:v>3.024</c:v>
                </c:pt>
                <c:pt idx="52">
                  <c:v>3.0059999999999998</c:v>
                </c:pt>
                <c:pt idx="53">
                  <c:v>3.0470000000000002</c:v>
                </c:pt>
                <c:pt idx="54">
                  <c:v>3.0430000000000001</c:v>
                </c:pt>
                <c:pt idx="55">
                  <c:v>3.109</c:v>
                </c:pt>
                <c:pt idx="56">
                  <c:v>3.1030000000000002</c:v>
                </c:pt>
                <c:pt idx="57">
                  <c:v>3.0819999999999999</c:v>
                </c:pt>
                <c:pt idx="58">
                  <c:v>3.1280000000000001</c:v>
                </c:pt>
                <c:pt idx="59">
                  <c:v>3.1480000000000001</c:v>
                </c:pt>
                <c:pt idx="60">
                  <c:v>3.125</c:v>
                </c:pt>
                <c:pt idx="61">
                  <c:v>3.0779999999999998</c:v>
                </c:pt>
                <c:pt idx="62">
                  <c:v>3.069</c:v>
                </c:pt>
                <c:pt idx="63">
                  <c:v>3.0579999999999998</c:v>
                </c:pt>
                <c:pt idx="64">
                  <c:v>3.1150000000000002</c:v>
                </c:pt>
                <c:pt idx="65">
                  <c:v>3.1619999999999999</c:v>
                </c:pt>
                <c:pt idx="66">
                  <c:v>3.2429999999999999</c:v>
                </c:pt>
                <c:pt idx="67">
                  <c:v>3.1680000000000001</c:v>
                </c:pt>
                <c:pt idx="68">
                  <c:v>3.141</c:v>
                </c:pt>
                <c:pt idx="69">
                  <c:v>3.133</c:v>
                </c:pt>
                <c:pt idx="70">
                  <c:v>3.1469999999999998</c:v>
                </c:pt>
                <c:pt idx="71">
                  <c:v>3.12</c:v>
                </c:pt>
                <c:pt idx="72">
                  <c:v>3.173</c:v>
                </c:pt>
                <c:pt idx="73">
                  <c:v>3.16</c:v>
                </c:pt>
                <c:pt idx="74">
                  <c:v>3.1269999999999998</c:v>
                </c:pt>
                <c:pt idx="75">
                  <c:v>3.1080000000000001</c:v>
                </c:pt>
                <c:pt idx="76">
                  <c:v>3.1389999999999998</c:v>
                </c:pt>
                <c:pt idx="77">
                  <c:v>3.2130000000000001</c:v>
                </c:pt>
                <c:pt idx="78">
                  <c:v>3.1640000000000001</c:v>
                </c:pt>
                <c:pt idx="79">
                  <c:v>3.125</c:v>
                </c:pt>
                <c:pt idx="80">
                  <c:v>3.13</c:v>
                </c:pt>
                <c:pt idx="81">
                  <c:v>3.121</c:v>
                </c:pt>
                <c:pt idx="82">
                  <c:v>3.1230000000000002</c:v>
                </c:pt>
                <c:pt idx="83">
                  <c:v>3.14</c:v>
                </c:pt>
                <c:pt idx="84">
                  <c:v>3.1179999999999999</c:v>
                </c:pt>
                <c:pt idx="85">
                  <c:v>3.125</c:v>
                </c:pt>
                <c:pt idx="86">
                  <c:v>3.1469999999999998</c:v>
                </c:pt>
                <c:pt idx="87">
                  <c:v>3.177</c:v>
                </c:pt>
                <c:pt idx="88">
                  <c:v>3.1920000000000002</c:v>
                </c:pt>
                <c:pt idx="89">
                  <c:v>3.1680000000000001</c:v>
                </c:pt>
                <c:pt idx="90">
                  <c:v>3.173</c:v>
                </c:pt>
                <c:pt idx="91">
                  <c:v>3.1179999999999999</c:v>
                </c:pt>
                <c:pt idx="92">
                  <c:v>3.1240000000000001</c:v>
                </c:pt>
                <c:pt idx="93">
                  <c:v>3.0609999999999999</c:v>
                </c:pt>
                <c:pt idx="94">
                  <c:v>3.0190000000000001</c:v>
                </c:pt>
                <c:pt idx="95">
                  <c:v>3.0350000000000001</c:v>
                </c:pt>
                <c:pt idx="96">
                  <c:v>3.0190000000000001</c:v>
                </c:pt>
                <c:pt idx="97">
                  <c:v>3.056</c:v>
                </c:pt>
                <c:pt idx="98">
                  <c:v>3.0619999999999998</c:v>
                </c:pt>
                <c:pt idx="99">
                  <c:v>3.0609999999999999</c:v>
                </c:pt>
                <c:pt idx="100">
                  <c:v>2.9849999999999999</c:v>
                </c:pt>
                <c:pt idx="101">
                  <c:v>2.94</c:v>
                </c:pt>
                <c:pt idx="102">
                  <c:v>2.895</c:v>
                </c:pt>
                <c:pt idx="103">
                  <c:v>2.8410000000000002</c:v>
                </c:pt>
                <c:pt idx="104">
                  <c:v>2.8109999999999999</c:v>
                </c:pt>
                <c:pt idx="105">
                  <c:v>2.7959999999999998</c:v>
                </c:pt>
                <c:pt idx="106">
                  <c:v>2.7789999999999999</c:v>
                </c:pt>
                <c:pt idx="107">
                  <c:v>2.806</c:v>
                </c:pt>
                <c:pt idx="108">
                  <c:v>2.8530000000000002</c:v>
                </c:pt>
                <c:pt idx="109">
                  <c:v>2.867</c:v>
                </c:pt>
                <c:pt idx="110">
                  <c:v>2.9020000000000001</c:v>
                </c:pt>
                <c:pt idx="111">
                  <c:v>2.9239999999999999</c:v>
                </c:pt>
                <c:pt idx="112">
                  <c:v>2.9369999999999998</c:v>
                </c:pt>
                <c:pt idx="113">
                  <c:v>3.0150000000000001</c:v>
                </c:pt>
                <c:pt idx="114">
                  <c:v>3.5019999999999998</c:v>
                </c:pt>
                <c:pt idx="115">
                  <c:v>3.72</c:v>
                </c:pt>
                <c:pt idx="116">
                  <c:v>3.9609999999999999</c:v>
                </c:pt>
                <c:pt idx="117">
                  <c:v>3.99</c:v>
                </c:pt>
                <c:pt idx="118">
                  <c:v>4.12</c:v>
                </c:pt>
                <c:pt idx="119">
                  <c:v>4.1230000000000002</c:v>
                </c:pt>
                <c:pt idx="120">
                  <c:v>4.0439999999999996</c:v>
                </c:pt>
                <c:pt idx="121">
                  <c:v>4.1230000000000002</c:v>
                </c:pt>
                <c:pt idx="122">
                  <c:v>4.452</c:v>
                </c:pt>
                <c:pt idx="123">
                  <c:v>4.5</c:v>
                </c:pt>
                <c:pt idx="124">
                  <c:v>4.49</c:v>
                </c:pt>
                <c:pt idx="125">
                  <c:v>4.4749999999999996</c:v>
                </c:pt>
                <c:pt idx="126">
                  <c:v>4.3049999999999997</c:v>
                </c:pt>
                <c:pt idx="127">
                  <c:v>4.1459999999999999</c:v>
                </c:pt>
                <c:pt idx="128">
                  <c:v>4.0519999999999996</c:v>
                </c:pt>
                <c:pt idx="129">
                  <c:v>3.9140000000000001</c:v>
                </c:pt>
                <c:pt idx="130">
                  <c:v>3.831</c:v>
                </c:pt>
                <c:pt idx="131">
                  <c:v>3.7770000000000001</c:v>
                </c:pt>
                <c:pt idx="132">
                  <c:v>3.855</c:v>
                </c:pt>
                <c:pt idx="133">
                  <c:v>4.0010000000000003</c:v>
                </c:pt>
                <c:pt idx="134">
                  <c:v>4.0960000000000001</c:v>
                </c:pt>
                <c:pt idx="135">
                  <c:v>4.0789999999999997</c:v>
                </c:pt>
                <c:pt idx="136">
                  <c:v>4.0060000000000002</c:v>
                </c:pt>
                <c:pt idx="137">
                  <c:v>4.0490000000000004</c:v>
                </c:pt>
                <c:pt idx="138">
                  <c:v>4.085</c:v>
                </c:pt>
                <c:pt idx="139">
                  <c:v>4.0709999999999997</c:v>
                </c:pt>
                <c:pt idx="140">
                  <c:v>4.157</c:v>
                </c:pt>
                <c:pt idx="141">
                  <c:v>4.319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2EB-499A-90E2-0898E45DD5E3}"/>
            </c:ext>
          </c:extLst>
        </c:ser>
        <c:ser>
          <c:idx val="1"/>
          <c:order val="1"/>
          <c:tx>
            <c:strRef>
              <c:f>'Weekly Prices'!$C$1</c:f>
              <c:strCache>
                <c:ptCount val="1"/>
                <c:pt idx="0">
                  <c:v>Diesel ($/gal)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Prices'!$A$2:$A$143</c:f>
              <c:strCache>
                <c:ptCount val="142"/>
                <c:pt idx="0">
                  <c:v>2024-01-01</c:v>
                </c:pt>
                <c:pt idx="1">
                  <c:v>2024-01-08</c:v>
                </c:pt>
                <c:pt idx="2">
                  <c:v>2024-01-15</c:v>
                </c:pt>
                <c:pt idx="3">
                  <c:v>2024-01-22</c:v>
                </c:pt>
                <c:pt idx="4">
                  <c:v>2024-01-29</c:v>
                </c:pt>
                <c:pt idx="5">
                  <c:v>2024-02-05</c:v>
                </c:pt>
                <c:pt idx="6">
                  <c:v>2024-02-12</c:v>
                </c:pt>
                <c:pt idx="7">
                  <c:v>2024-02-19</c:v>
                </c:pt>
                <c:pt idx="8">
                  <c:v>2024-02-26</c:v>
                </c:pt>
                <c:pt idx="9">
                  <c:v>2024-03-04</c:v>
                </c:pt>
                <c:pt idx="10">
                  <c:v>2024-03-11</c:v>
                </c:pt>
                <c:pt idx="11">
                  <c:v>2024-03-18</c:v>
                </c:pt>
                <c:pt idx="12">
                  <c:v>2024-03-25</c:v>
                </c:pt>
                <c:pt idx="13">
                  <c:v>2024-04-01</c:v>
                </c:pt>
                <c:pt idx="14">
                  <c:v>2024-04-08</c:v>
                </c:pt>
                <c:pt idx="15">
                  <c:v>2024-04-15</c:v>
                </c:pt>
                <c:pt idx="16">
                  <c:v>2024-04-22</c:v>
                </c:pt>
                <c:pt idx="17">
                  <c:v>2024-04-29</c:v>
                </c:pt>
                <c:pt idx="18">
                  <c:v>2024-05-06</c:v>
                </c:pt>
                <c:pt idx="19">
                  <c:v>2024-05-13</c:v>
                </c:pt>
                <c:pt idx="20">
                  <c:v>2024-05-20</c:v>
                </c:pt>
                <c:pt idx="21">
                  <c:v>2024-05-27</c:v>
                </c:pt>
                <c:pt idx="22">
                  <c:v>2024-06-03</c:v>
                </c:pt>
                <c:pt idx="23">
                  <c:v>2024-06-10</c:v>
                </c:pt>
                <c:pt idx="24">
                  <c:v>2024-06-17</c:v>
                </c:pt>
                <c:pt idx="25">
                  <c:v>2024-06-24</c:v>
                </c:pt>
                <c:pt idx="26">
                  <c:v>2024-07-01</c:v>
                </c:pt>
                <c:pt idx="27">
                  <c:v>2024-07-08</c:v>
                </c:pt>
                <c:pt idx="28">
                  <c:v>2024-07-15</c:v>
                </c:pt>
                <c:pt idx="29">
                  <c:v>2024-07-22</c:v>
                </c:pt>
                <c:pt idx="30">
                  <c:v>2024-07-29</c:v>
                </c:pt>
                <c:pt idx="31">
                  <c:v>2024-08-05</c:v>
                </c:pt>
                <c:pt idx="32">
                  <c:v>2024-08-12</c:v>
                </c:pt>
                <c:pt idx="33">
                  <c:v>2024-08-19</c:v>
                </c:pt>
                <c:pt idx="34">
                  <c:v>2024-08-26</c:v>
                </c:pt>
                <c:pt idx="35">
                  <c:v>2024-09-02</c:v>
                </c:pt>
                <c:pt idx="36">
                  <c:v>2024-09-09</c:v>
                </c:pt>
                <c:pt idx="37">
                  <c:v>2024-09-16</c:v>
                </c:pt>
                <c:pt idx="38">
                  <c:v>2024-09-23</c:v>
                </c:pt>
                <c:pt idx="39">
                  <c:v>2024-09-30</c:v>
                </c:pt>
                <c:pt idx="40">
                  <c:v>2024-10-07</c:v>
                </c:pt>
                <c:pt idx="41">
                  <c:v>2024-10-14</c:v>
                </c:pt>
                <c:pt idx="42">
                  <c:v>2024-10-21</c:v>
                </c:pt>
                <c:pt idx="43">
                  <c:v>2024-10-28</c:v>
                </c:pt>
                <c:pt idx="44">
                  <c:v>2024-11-04</c:v>
                </c:pt>
                <c:pt idx="45">
                  <c:v>2024-11-11</c:v>
                </c:pt>
                <c:pt idx="46">
                  <c:v>2024-11-18</c:v>
                </c:pt>
                <c:pt idx="47">
                  <c:v>2024-11-25</c:v>
                </c:pt>
                <c:pt idx="48">
                  <c:v>2024-12-02</c:v>
                </c:pt>
                <c:pt idx="49">
                  <c:v>2024-12-09</c:v>
                </c:pt>
                <c:pt idx="50">
                  <c:v>2024-12-16</c:v>
                </c:pt>
                <c:pt idx="51">
                  <c:v>2024-12-23</c:v>
                </c:pt>
                <c:pt idx="52">
                  <c:v>2024-12-30</c:v>
                </c:pt>
                <c:pt idx="53">
                  <c:v>2025-01-06</c:v>
                </c:pt>
                <c:pt idx="54">
                  <c:v>2025-01-13</c:v>
                </c:pt>
                <c:pt idx="55">
                  <c:v>2025-01-20</c:v>
                </c:pt>
                <c:pt idx="56">
                  <c:v>2025-01-27</c:v>
                </c:pt>
                <c:pt idx="57">
                  <c:v>2025-02-03</c:v>
                </c:pt>
                <c:pt idx="58">
                  <c:v>2025-02-10</c:v>
                </c:pt>
                <c:pt idx="59">
                  <c:v>2025-02-17</c:v>
                </c:pt>
                <c:pt idx="60">
                  <c:v>2025-02-24</c:v>
                </c:pt>
                <c:pt idx="61">
                  <c:v>2025-03-03</c:v>
                </c:pt>
                <c:pt idx="62">
                  <c:v>2025-03-10</c:v>
                </c:pt>
                <c:pt idx="63">
                  <c:v>2025-03-17</c:v>
                </c:pt>
                <c:pt idx="64">
                  <c:v>2025-03-24</c:v>
                </c:pt>
                <c:pt idx="65">
                  <c:v>2025-03-31</c:v>
                </c:pt>
                <c:pt idx="66">
                  <c:v>2025-04-07</c:v>
                </c:pt>
                <c:pt idx="67">
                  <c:v>2025-04-14</c:v>
                </c:pt>
                <c:pt idx="68">
                  <c:v>2025-04-21</c:v>
                </c:pt>
                <c:pt idx="69">
                  <c:v>2025-04-28</c:v>
                </c:pt>
                <c:pt idx="70">
                  <c:v>2025-05-05</c:v>
                </c:pt>
                <c:pt idx="71">
                  <c:v>2025-05-12</c:v>
                </c:pt>
                <c:pt idx="72">
                  <c:v>2025-05-19</c:v>
                </c:pt>
                <c:pt idx="73">
                  <c:v>2025-05-26</c:v>
                </c:pt>
                <c:pt idx="74">
                  <c:v>2025-06-02</c:v>
                </c:pt>
                <c:pt idx="75">
                  <c:v>2025-06-09</c:v>
                </c:pt>
                <c:pt idx="76">
                  <c:v>2025-06-16</c:v>
                </c:pt>
                <c:pt idx="77">
                  <c:v>2025-06-23</c:v>
                </c:pt>
                <c:pt idx="78">
                  <c:v>2025-06-30</c:v>
                </c:pt>
                <c:pt idx="79">
                  <c:v>2025-07-07</c:v>
                </c:pt>
                <c:pt idx="80">
                  <c:v>2025-07-14</c:v>
                </c:pt>
                <c:pt idx="81">
                  <c:v>2025-07-21</c:v>
                </c:pt>
                <c:pt idx="82">
                  <c:v>2025-07-28</c:v>
                </c:pt>
                <c:pt idx="83">
                  <c:v>2025-08-04</c:v>
                </c:pt>
                <c:pt idx="84">
                  <c:v>2025-08-11</c:v>
                </c:pt>
                <c:pt idx="85">
                  <c:v>2025-08-18</c:v>
                </c:pt>
                <c:pt idx="86">
                  <c:v>2025-08-25</c:v>
                </c:pt>
                <c:pt idx="87">
                  <c:v>2025-09-01</c:v>
                </c:pt>
                <c:pt idx="88">
                  <c:v>2025-09-08</c:v>
                </c:pt>
                <c:pt idx="89">
                  <c:v>2025-09-15</c:v>
                </c:pt>
                <c:pt idx="90">
                  <c:v>2025-09-22</c:v>
                </c:pt>
                <c:pt idx="91">
                  <c:v>2025-09-29</c:v>
                </c:pt>
                <c:pt idx="92">
                  <c:v>2025-10-06</c:v>
                </c:pt>
                <c:pt idx="93">
                  <c:v>2025-10-13</c:v>
                </c:pt>
                <c:pt idx="94">
                  <c:v>2025-10-20</c:v>
                </c:pt>
                <c:pt idx="95">
                  <c:v>2025-10-27</c:v>
                </c:pt>
                <c:pt idx="96">
                  <c:v>2025-11-03</c:v>
                </c:pt>
                <c:pt idx="97">
                  <c:v>2025-11-10</c:v>
                </c:pt>
                <c:pt idx="98">
                  <c:v>2025-11-17</c:v>
                </c:pt>
                <c:pt idx="99">
                  <c:v>2025-11-24</c:v>
                </c:pt>
                <c:pt idx="100">
                  <c:v>2025-12-01</c:v>
                </c:pt>
                <c:pt idx="101">
                  <c:v>2025-12-08</c:v>
                </c:pt>
                <c:pt idx="102">
                  <c:v>2025-12-15</c:v>
                </c:pt>
                <c:pt idx="103">
                  <c:v>2025-12-22</c:v>
                </c:pt>
                <c:pt idx="104">
                  <c:v>2025-12-29</c:v>
                </c:pt>
                <c:pt idx="105">
                  <c:v>2026-01-05</c:v>
                </c:pt>
                <c:pt idx="106">
                  <c:v>2026-01-12</c:v>
                </c:pt>
                <c:pt idx="107">
                  <c:v>2026-01-19</c:v>
                </c:pt>
                <c:pt idx="108">
                  <c:v>2026-01-26</c:v>
                </c:pt>
                <c:pt idx="109">
                  <c:v>2026-02-02</c:v>
                </c:pt>
                <c:pt idx="110">
                  <c:v>2026-02-09</c:v>
                </c:pt>
                <c:pt idx="111">
                  <c:v>2/16/2026</c:v>
                </c:pt>
                <c:pt idx="112">
                  <c:v>2/23/2026</c:v>
                </c:pt>
                <c:pt idx="113">
                  <c:v>3/2/2026</c:v>
                </c:pt>
                <c:pt idx="114">
                  <c:v>3/9/2026</c:v>
                </c:pt>
                <c:pt idx="115">
                  <c:v>3/16/2026</c:v>
                </c:pt>
                <c:pt idx="116">
                  <c:v>3/23/2026</c:v>
                </c:pt>
                <c:pt idx="117">
                  <c:v>3/30/2026</c:v>
                </c:pt>
                <c:pt idx="118">
                  <c:v>4/6/2026</c:v>
                </c:pt>
                <c:pt idx="119">
                  <c:v>4/13/2026</c:v>
                </c:pt>
                <c:pt idx="120">
                  <c:v>4/20/2026</c:v>
                </c:pt>
                <c:pt idx="121">
                  <c:v>4/27/2026</c:v>
                </c:pt>
                <c:pt idx="122">
                  <c:v>5/4/2026</c:v>
                </c:pt>
                <c:pt idx="123">
                  <c:v>5/11/2026</c:v>
                </c:pt>
                <c:pt idx="124">
                  <c:v>5/18/2026</c:v>
                </c:pt>
                <c:pt idx="125">
                  <c:v>5/25/2026</c:v>
                </c:pt>
                <c:pt idx="126">
                  <c:v>6/1/2026</c:v>
                </c:pt>
                <c:pt idx="127">
                  <c:v>6/8/2026</c:v>
                </c:pt>
                <c:pt idx="128">
                  <c:v>6/15/2026</c:v>
                </c:pt>
                <c:pt idx="129">
                  <c:v>6/22/2026</c:v>
                </c:pt>
                <c:pt idx="130">
                  <c:v>6/29/2026</c:v>
                </c:pt>
                <c:pt idx="131">
                  <c:v>7/6/2026</c:v>
                </c:pt>
                <c:pt idx="132">
                  <c:v>7/13/2026</c:v>
                </c:pt>
                <c:pt idx="133">
                  <c:v>7/20/2026</c:v>
                </c:pt>
                <c:pt idx="134">
                  <c:v>7/27/2026</c:v>
                </c:pt>
                <c:pt idx="135">
                  <c:v>8/3/2026</c:v>
                </c:pt>
                <c:pt idx="136">
                  <c:v>8/10/2026</c:v>
                </c:pt>
                <c:pt idx="137">
                  <c:v>8/17/2026</c:v>
                </c:pt>
                <c:pt idx="138">
                  <c:v>8/24/2026</c:v>
                </c:pt>
                <c:pt idx="139">
                  <c:v>8/31/2026</c:v>
                </c:pt>
                <c:pt idx="140">
                  <c:v>9/7/2026</c:v>
                </c:pt>
                <c:pt idx="141">
                  <c:v>9/14/2026</c:v>
                </c:pt>
              </c:strCache>
            </c:strRef>
          </c:cat>
          <c:val>
            <c:numRef>
              <c:f>'Weekly Prices'!$C$2:$C$143</c:f>
              <c:numCache>
                <c:formatCode>\$#,##0.000</c:formatCode>
                <c:ptCount val="142"/>
                <c:pt idx="0">
                  <c:v>3.8759999999999999</c:v>
                </c:pt>
                <c:pt idx="1">
                  <c:v>3.8279999999999998</c:v>
                </c:pt>
                <c:pt idx="2">
                  <c:v>3.863</c:v>
                </c:pt>
                <c:pt idx="3">
                  <c:v>3.8380000000000001</c:v>
                </c:pt>
                <c:pt idx="4">
                  <c:v>3.867</c:v>
                </c:pt>
                <c:pt idx="5">
                  <c:v>3.899</c:v>
                </c:pt>
                <c:pt idx="6">
                  <c:v>4.109</c:v>
                </c:pt>
                <c:pt idx="7">
                  <c:v>4.109</c:v>
                </c:pt>
                <c:pt idx="8">
                  <c:v>4.0579999999999998</c:v>
                </c:pt>
                <c:pt idx="9">
                  <c:v>4.0220000000000002</c:v>
                </c:pt>
                <c:pt idx="10">
                  <c:v>4.0039999999999996</c:v>
                </c:pt>
                <c:pt idx="11">
                  <c:v>4.0279999999999996</c:v>
                </c:pt>
                <c:pt idx="12">
                  <c:v>4.0339999999999998</c:v>
                </c:pt>
                <c:pt idx="13">
                  <c:v>3.996</c:v>
                </c:pt>
                <c:pt idx="14">
                  <c:v>4.0609999999999999</c:v>
                </c:pt>
                <c:pt idx="15">
                  <c:v>4.0149999999999997</c:v>
                </c:pt>
                <c:pt idx="16">
                  <c:v>3.992</c:v>
                </c:pt>
                <c:pt idx="17">
                  <c:v>3.9470000000000001</c:v>
                </c:pt>
                <c:pt idx="18">
                  <c:v>3.8940000000000001</c:v>
                </c:pt>
                <c:pt idx="19">
                  <c:v>3.8479999999999999</c:v>
                </c:pt>
                <c:pt idx="20">
                  <c:v>3.7890000000000001</c:v>
                </c:pt>
                <c:pt idx="21">
                  <c:v>3.758</c:v>
                </c:pt>
                <c:pt idx="22">
                  <c:v>3.726</c:v>
                </c:pt>
                <c:pt idx="23">
                  <c:v>3.6579999999999999</c:v>
                </c:pt>
                <c:pt idx="24">
                  <c:v>3.7349999999999999</c:v>
                </c:pt>
                <c:pt idx="25">
                  <c:v>3.7690000000000001</c:v>
                </c:pt>
                <c:pt idx="26">
                  <c:v>3.8130000000000002</c:v>
                </c:pt>
                <c:pt idx="27">
                  <c:v>3.8650000000000002</c:v>
                </c:pt>
                <c:pt idx="28">
                  <c:v>3.8260000000000001</c:v>
                </c:pt>
                <c:pt idx="29">
                  <c:v>3.7789999999999999</c:v>
                </c:pt>
                <c:pt idx="30">
                  <c:v>3.7679999999999998</c:v>
                </c:pt>
                <c:pt idx="31">
                  <c:v>3.7549999999999999</c:v>
                </c:pt>
                <c:pt idx="32">
                  <c:v>3.7040000000000002</c:v>
                </c:pt>
                <c:pt idx="33">
                  <c:v>3.6880000000000002</c:v>
                </c:pt>
                <c:pt idx="34">
                  <c:v>3.6509999999999998</c:v>
                </c:pt>
                <c:pt idx="35">
                  <c:v>3.625</c:v>
                </c:pt>
                <c:pt idx="36">
                  <c:v>3.5550000000000002</c:v>
                </c:pt>
                <c:pt idx="37">
                  <c:v>3.5259999999999998</c:v>
                </c:pt>
                <c:pt idx="38">
                  <c:v>3.5390000000000001</c:v>
                </c:pt>
                <c:pt idx="39">
                  <c:v>3.544</c:v>
                </c:pt>
                <c:pt idx="40">
                  <c:v>3.5840000000000001</c:v>
                </c:pt>
                <c:pt idx="41">
                  <c:v>3.6309999999999998</c:v>
                </c:pt>
                <c:pt idx="42">
                  <c:v>3.5529999999999999</c:v>
                </c:pt>
                <c:pt idx="43">
                  <c:v>3.573</c:v>
                </c:pt>
                <c:pt idx="44">
                  <c:v>3.536</c:v>
                </c:pt>
                <c:pt idx="45">
                  <c:v>3.5209999999999999</c:v>
                </c:pt>
                <c:pt idx="46">
                  <c:v>3.4910000000000001</c:v>
                </c:pt>
                <c:pt idx="47">
                  <c:v>3.5390000000000001</c:v>
                </c:pt>
                <c:pt idx="48">
                  <c:v>3.54</c:v>
                </c:pt>
                <c:pt idx="49">
                  <c:v>3.4580000000000002</c:v>
                </c:pt>
                <c:pt idx="50">
                  <c:v>3.4940000000000002</c:v>
                </c:pt>
                <c:pt idx="51">
                  <c:v>3.476</c:v>
                </c:pt>
                <c:pt idx="52">
                  <c:v>3.5030000000000001</c:v>
                </c:pt>
                <c:pt idx="53">
                  <c:v>3.5609999999999999</c:v>
                </c:pt>
                <c:pt idx="54">
                  <c:v>3.6019999999999999</c:v>
                </c:pt>
                <c:pt idx="55">
                  <c:v>3.7149999999999999</c:v>
                </c:pt>
                <c:pt idx="56">
                  <c:v>3.6589999999999998</c:v>
                </c:pt>
                <c:pt idx="57">
                  <c:v>3.66</c:v>
                </c:pt>
                <c:pt idx="58">
                  <c:v>3.665</c:v>
                </c:pt>
                <c:pt idx="59">
                  <c:v>3.677</c:v>
                </c:pt>
                <c:pt idx="60">
                  <c:v>3.6970000000000001</c:v>
                </c:pt>
                <c:pt idx="61">
                  <c:v>3.6349999999999998</c:v>
                </c:pt>
                <c:pt idx="62">
                  <c:v>3.5819999999999999</c:v>
                </c:pt>
                <c:pt idx="63">
                  <c:v>3.5489999999999999</c:v>
                </c:pt>
                <c:pt idx="64">
                  <c:v>3.5670000000000002</c:v>
                </c:pt>
                <c:pt idx="65">
                  <c:v>3.5920000000000001</c:v>
                </c:pt>
                <c:pt idx="66">
                  <c:v>3.6389999999999998</c:v>
                </c:pt>
                <c:pt idx="67">
                  <c:v>3.5790000000000002</c:v>
                </c:pt>
                <c:pt idx="68">
                  <c:v>3.5339999999999998</c:v>
                </c:pt>
                <c:pt idx="69">
                  <c:v>3.5139999999999998</c:v>
                </c:pt>
                <c:pt idx="70">
                  <c:v>3.4969999999999999</c:v>
                </c:pt>
                <c:pt idx="71">
                  <c:v>3.476</c:v>
                </c:pt>
                <c:pt idx="72">
                  <c:v>3.536</c:v>
                </c:pt>
                <c:pt idx="73">
                  <c:v>3.4870000000000001</c:v>
                </c:pt>
                <c:pt idx="74">
                  <c:v>3.4510000000000001</c:v>
                </c:pt>
                <c:pt idx="75">
                  <c:v>3.4710000000000001</c:v>
                </c:pt>
                <c:pt idx="76">
                  <c:v>3.5710000000000002</c:v>
                </c:pt>
                <c:pt idx="77">
                  <c:v>3.7749999999999999</c:v>
                </c:pt>
                <c:pt idx="78">
                  <c:v>3.7269999999999999</c:v>
                </c:pt>
                <c:pt idx="79">
                  <c:v>3.7389999999999999</c:v>
                </c:pt>
                <c:pt idx="80">
                  <c:v>3.758</c:v>
                </c:pt>
                <c:pt idx="81">
                  <c:v>3.8119999999999998</c:v>
                </c:pt>
                <c:pt idx="82">
                  <c:v>3.8050000000000002</c:v>
                </c:pt>
                <c:pt idx="83">
                  <c:v>3.8</c:v>
                </c:pt>
                <c:pt idx="84">
                  <c:v>3.754</c:v>
                </c:pt>
                <c:pt idx="85">
                  <c:v>3.7130000000000001</c:v>
                </c:pt>
                <c:pt idx="86">
                  <c:v>3.7080000000000002</c:v>
                </c:pt>
                <c:pt idx="87">
                  <c:v>3.734</c:v>
                </c:pt>
                <c:pt idx="88">
                  <c:v>3.766</c:v>
                </c:pt>
                <c:pt idx="89">
                  <c:v>3.7389999999999999</c:v>
                </c:pt>
                <c:pt idx="90">
                  <c:v>3.7490000000000001</c:v>
                </c:pt>
                <c:pt idx="91">
                  <c:v>3.754</c:v>
                </c:pt>
                <c:pt idx="92">
                  <c:v>3.7109999999999999</c:v>
                </c:pt>
                <c:pt idx="93">
                  <c:v>3.665</c:v>
                </c:pt>
                <c:pt idx="94">
                  <c:v>3.62</c:v>
                </c:pt>
                <c:pt idx="95">
                  <c:v>3.718</c:v>
                </c:pt>
                <c:pt idx="96">
                  <c:v>3.7530000000000001</c:v>
                </c:pt>
                <c:pt idx="97">
                  <c:v>3.8370000000000002</c:v>
                </c:pt>
                <c:pt idx="98">
                  <c:v>3.8679999999999999</c:v>
                </c:pt>
                <c:pt idx="99">
                  <c:v>3.831</c:v>
                </c:pt>
                <c:pt idx="100">
                  <c:v>3.758</c:v>
                </c:pt>
                <c:pt idx="101">
                  <c:v>3.665</c:v>
                </c:pt>
                <c:pt idx="102">
                  <c:v>3.6070000000000002</c:v>
                </c:pt>
                <c:pt idx="103">
                  <c:v>3.544</c:v>
                </c:pt>
                <c:pt idx="104">
                  <c:v>3.5</c:v>
                </c:pt>
                <c:pt idx="105">
                  <c:v>3.4769999999999999</c:v>
                </c:pt>
                <c:pt idx="106">
                  <c:v>3.4590000000000001</c:v>
                </c:pt>
                <c:pt idx="107">
                  <c:v>3.53</c:v>
                </c:pt>
                <c:pt idx="108">
                  <c:v>3.6240000000000001</c:v>
                </c:pt>
                <c:pt idx="109">
                  <c:v>3.681</c:v>
                </c:pt>
                <c:pt idx="110">
                  <c:v>3.6880000000000002</c:v>
                </c:pt>
                <c:pt idx="111">
                  <c:v>3.7109999999999999</c:v>
                </c:pt>
                <c:pt idx="112">
                  <c:v>3.8090000000000002</c:v>
                </c:pt>
                <c:pt idx="113">
                  <c:v>3.8969999999999998</c:v>
                </c:pt>
                <c:pt idx="114">
                  <c:v>4.859</c:v>
                </c:pt>
                <c:pt idx="115">
                  <c:v>5.0709999999999997</c:v>
                </c:pt>
                <c:pt idx="116">
                  <c:v>5.375</c:v>
                </c:pt>
                <c:pt idx="117">
                  <c:v>5.4009999999999998</c:v>
                </c:pt>
                <c:pt idx="118">
                  <c:v>5.6429999999999998</c:v>
                </c:pt>
                <c:pt idx="119">
                  <c:v>5.6079999999999997</c:v>
                </c:pt>
                <c:pt idx="120">
                  <c:v>5.4029999999999996</c:v>
                </c:pt>
                <c:pt idx="121">
                  <c:v>5.351</c:v>
                </c:pt>
                <c:pt idx="122">
                  <c:v>5.64</c:v>
                </c:pt>
                <c:pt idx="123">
                  <c:v>5.6390000000000002</c:v>
                </c:pt>
                <c:pt idx="124">
                  <c:v>5.5960000000000001</c:v>
                </c:pt>
                <c:pt idx="125">
                  <c:v>5.5229999999999997</c:v>
                </c:pt>
                <c:pt idx="126">
                  <c:v>5.35</c:v>
                </c:pt>
                <c:pt idx="127">
                  <c:v>5.21</c:v>
                </c:pt>
                <c:pt idx="128">
                  <c:v>5.0590000000000002</c:v>
                </c:pt>
                <c:pt idx="129">
                  <c:v>4.8319999999999999</c:v>
                </c:pt>
                <c:pt idx="130">
                  <c:v>4.6680000000000001</c:v>
                </c:pt>
                <c:pt idx="131">
                  <c:v>4.5780000000000003</c:v>
                </c:pt>
                <c:pt idx="132">
                  <c:v>4.7960000000000003</c:v>
                </c:pt>
                <c:pt idx="133">
                  <c:v>5.1340000000000003</c:v>
                </c:pt>
                <c:pt idx="134">
                  <c:v>5.3129999999999997</c:v>
                </c:pt>
                <c:pt idx="135">
                  <c:v>5.3479999999999999</c:v>
                </c:pt>
                <c:pt idx="136">
                  <c:v>5.2569999999999997</c:v>
                </c:pt>
                <c:pt idx="137">
                  <c:v>5.4539999999999997</c:v>
                </c:pt>
                <c:pt idx="138">
                  <c:v>5.6520000000000001</c:v>
                </c:pt>
                <c:pt idx="139">
                  <c:v>5.5990000000000002</c:v>
                </c:pt>
                <c:pt idx="140">
                  <c:v>5.9669999999999996</c:v>
                </c:pt>
                <c:pt idx="141">
                  <c:v>6.2850000000000001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2EB-499A-90E2-0898E45DD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8878777"/>
        <c:axId val="45943552"/>
      </c:lineChart>
      <c:catAx>
        <c:axId val="6887877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Week Ending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943552"/>
        <c:crosses val="autoZero"/>
        <c:auto val="1"/>
        <c:lblAlgn val="ctr"/>
        <c:lblOffset val="100"/>
        <c:noMultiLvlLbl val="0"/>
      </c:catAx>
      <c:valAx>
        <c:axId val="459435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Dollars per Gallon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87877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23</xdr:col>
      <xdr:colOff>78480</xdr:colOff>
      <xdr:row>19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3"/>
  <sheetViews>
    <sheetView tabSelected="1" zoomScaleNormal="100" workbookViewId="0">
      <pane ySplit="1" topLeftCell="A113" activePane="bottomLeft" state="frozen"/>
      <selection pane="bottomLeft" activeCell="A144" sqref="A144"/>
    </sheetView>
  </sheetViews>
  <sheetFormatPr defaultColWidth="8.6328125" defaultRowHeight="14.5" x14ac:dyDescent="0.35"/>
  <cols>
    <col min="1" max="1" width="41.1796875" customWidth="1"/>
    <col min="2" max="2" width="22" customWidth="1"/>
    <col min="3" max="3" width="16" customWidth="1"/>
    <col min="4" max="4" width="24" customWidth="1"/>
    <col min="5" max="5" width="20" customWidth="1"/>
    <col min="6" max="6" width="18" customWidth="1"/>
    <col min="7" max="7" width="20" customWidth="1"/>
    <col min="8" max="8" width="18" customWidth="1"/>
  </cols>
  <sheetData>
    <row r="1" spans="1:8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9" t="s">
        <v>8</v>
      </c>
      <c r="B2" s="2">
        <v>3.089</v>
      </c>
      <c r="C2" s="2">
        <v>3.8759999999999999</v>
      </c>
      <c r="D2" s="2">
        <f t="shared" ref="D2:D33" si="0">C2-B2</f>
        <v>0.78699999999999992</v>
      </c>
      <c r="E2" s="3"/>
      <c r="F2" s="3"/>
      <c r="G2" s="4"/>
      <c r="H2" s="4"/>
    </row>
    <row r="3" spans="1:8" x14ac:dyDescent="0.35">
      <c r="A3" s="9" t="s">
        <v>9</v>
      </c>
      <c r="B3" s="2">
        <v>3.073</v>
      </c>
      <c r="C3" s="2">
        <v>3.8279999999999998</v>
      </c>
      <c r="D3" s="2">
        <f t="shared" si="0"/>
        <v>0.75499999999999989</v>
      </c>
      <c r="E3" s="5">
        <f t="shared" ref="E3:E34" si="1">(B3-B2)/B2</f>
        <v>-5.1796697960505064E-3</v>
      </c>
      <c r="F3" s="5">
        <f t="shared" ref="F3:F34" si="2">(C3-C2)/C2</f>
        <v>-1.2383900928792581E-2</v>
      </c>
      <c r="G3" s="4"/>
      <c r="H3" s="4"/>
    </row>
    <row r="4" spans="1:8" x14ac:dyDescent="0.35">
      <c r="A4" s="9" t="s">
        <v>10</v>
      </c>
      <c r="B4" s="2">
        <v>3.0579999999999998</v>
      </c>
      <c r="C4" s="2">
        <v>3.863</v>
      </c>
      <c r="D4" s="2">
        <f t="shared" si="0"/>
        <v>0.80500000000000016</v>
      </c>
      <c r="E4" s="5">
        <f t="shared" si="1"/>
        <v>-4.8812235600390903E-3</v>
      </c>
      <c r="F4" s="5">
        <f t="shared" si="2"/>
        <v>9.1431556948798707E-3</v>
      </c>
      <c r="G4" s="4"/>
      <c r="H4" s="4"/>
    </row>
    <row r="5" spans="1:8" x14ac:dyDescent="0.35">
      <c r="A5" s="9" t="s">
        <v>11</v>
      </c>
      <c r="B5" s="2">
        <v>3.0619999999999998</v>
      </c>
      <c r="C5" s="2">
        <v>3.8380000000000001</v>
      </c>
      <c r="D5" s="2">
        <f t="shared" si="0"/>
        <v>0.77600000000000025</v>
      </c>
      <c r="E5" s="5">
        <f t="shared" si="1"/>
        <v>1.3080444735121006E-3</v>
      </c>
      <c r="F5" s="5">
        <f t="shared" si="2"/>
        <v>-6.4716541548019441E-3</v>
      </c>
      <c r="G5" s="2">
        <f t="shared" ref="G5:G36" si="3">AVERAGE(B2:B5)</f>
        <v>3.0704999999999996</v>
      </c>
      <c r="H5" s="2">
        <f t="shared" ref="H5:H36" si="4">AVERAGE(C2:C5)</f>
        <v>3.8512500000000003</v>
      </c>
    </row>
    <row r="6" spans="1:8" x14ac:dyDescent="0.35">
      <c r="A6" s="9" t="s">
        <v>12</v>
      </c>
      <c r="B6" s="2">
        <v>3.0950000000000002</v>
      </c>
      <c r="C6" s="2">
        <v>3.867</v>
      </c>
      <c r="D6" s="2">
        <f t="shared" si="0"/>
        <v>0.7719999999999998</v>
      </c>
      <c r="E6" s="5">
        <f t="shared" si="1"/>
        <v>1.0777269758328009E-2</v>
      </c>
      <c r="F6" s="5">
        <f t="shared" si="2"/>
        <v>7.556018759770692E-3</v>
      </c>
      <c r="G6" s="2">
        <f t="shared" si="3"/>
        <v>3.0720000000000001</v>
      </c>
      <c r="H6" s="2">
        <f t="shared" si="4"/>
        <v>3.8490000000000002</v>
      </c>
    </row>
    <row r="7" spans="1:8" x14ac:dyDescent="0.35">
      <c r="A7" s="9" t="s">
        <v>13</v>
      </c>
      <c r="B7" s="2">
        <v>3.1360000000000001</v>
      </c>
      <c r="C7" s="2">
        <v>3.899</v>
      </c>
      <c r="D7" s="2">
        <f t="shared" si="0"/>
        <v>0.7629999999999999</v>
      </c>
      <c r="E7" s="5">
        <f t="shared" si="1"/>
        <v>1.3247172859450701E-2</v>
      </c>
      <c r="F7" s="5">
        <f t="shared" si="2"/>
        <v>8.2751486940781036E-3</v>
      </c>
      <c r="G7" s="2">
        <f t="shared" si="3"/>
        <v>3.0877499999999998</v>
      </c>
      <c r="H7" s="2">
        <f t="shared" si="4"/>
        <v>3.8667500000000006</v>
      </c>
    </row>
    <row r="8" spans="1:8" x14ac:dyDescent="0.35">
      <c r="A8" s="9" t="s">
        <v>14</v>
      </c>
      <c r="B8" s="2">
        <v>3.1920000000000002</v>
      </c>
      <c r="C8" s="2">
        <v>4.109</v>
      </c>
      <c r="D8" s="2">
        <f t="shared" si="0"/>
        <v>0.91699999999999982</v>
      </c>
      <c r="E8" s="5">
        <f t="shared" si="1"/>
        <v>1.7857142857142873E-2</v>
      </c>
      <c r="F8" s="5">
        <f t="shared" si="2"/>
        <v>5.3859964093357263E-2</v>
      </c>
      <c r="G8" s="2">
        <f t="shared" si="3"/>
        <v>3.1212499999999999</v>
      </c>
      <c r="H8" s="2">
        <f t="shared" si="4"/>
        <v>3.9282499999999998</v>
      </c>
    </row>
    <row r="9" spans="1:8" x14ac:dyDescent="0.35">
      <c r="A9" s="9" t="s">
        <v>15</v>
      </c>
      <c r="B9" s="2">
        <v>3.2690000000000001</v>
      </c>
      <c r="C9" s="2">
        <v>4.109</v>
      </c>
      <c r="D9" s="2">
        <f t="shared" si="0"/>
        <v>0.83999999999999986</v>
      </c>
      <c r="E9" s="5">
        <f t="shared" si="1"/>
        <v>2.4122807017543844E-2</v>
      </c>
      <c r="F9" s="5">
        <f t="shared" si="2"/>
        <v>0</v>
      </c>
      <c r="G9" s="2">
        <f t="shared" si="3"/>
        <v>3.173</v>
      </c>
      <c r="H9" s="2">
        <f t="shared" si="4"/>
        <v>3.996</v>
      </c>
    </row>
    <row r="10" spans="1:8" x14ac:dyDescent="0.35">
      <c r="A10" s="9" t="s">
        <v>16</v>
      </c>
      <c r="B10" s="2">
        <v>3.2490000000000001</v>
      </c>
      <c r="C10" s="2">
        <v>4.0579999999999998</v>
      </c>
      <c r="D10" s="2">
        <f t="shared" si="0"/>
        <v>0.80899999999999972</v>
      </c>
      <c r="E10" s="5">
        <f t="shared" si="1"/>
        <v>-6.1180789232181147E-3</v>
      </c>
      <c r="F10" s="5">
        <f t="shared" si="2"/>
        <v>-1.2411779021659809E-2</v>
      </c>
      <c r="G10" s="2">
        <f t="shared" si="3"/>
        <v>3.2115000000000005</v>
      </c>
      <c r="H10" s="2">
        <f t="shared" si="4"/>
        <v>4.0437499999999993</v>
      </c>
    </row>
    <row r="11" spans="1:8" x14ac:dyDescent="0.35">
      <c r="A11" s="9" t="s">
        <v>17</v>
      </c>
      <c r="B11" s="2">
        <v>3.35</v>
      </c>
      <c r="C11" s="2">
        <v>4.0220000000000002</v>
      </c>
      <c r="D11" s="2">
        <f t="shared" si="0"/>
        <v>0.67200000000000015</v>
      </c>
      <c r="E11" s="5">
        <f t="shared" si="1"/>
        <v>3.1086488150200053E-2</v>
      </c>
      <c r="F11" s="5">
        <f t="shared" si="2"/>
        <v>-8.8713652045341526E-3</v>
      </c>
      <c r="G11" s="2">
        <f t="shared" si="3"/>
        <v>3.2650000000000001</v>
      </c>
      <c r="H11" s="2">
        <f t="shared" si="4"/>
        <v>4.0745000000000005</v>
      </c>
    </row>
    <row r="12" spans="1:8" x14ac:dyDescent="0.35">
      <c r="A12" s="9" t="s">
        <v>18</v>
      </c>
      <c r="B12" s="2">
        <v>3.3759999999999999</v>
      </c>
      <c r="C12" s="2">
        <v>4.0039999999999996</v>
      </c>
      <c r="D12" s="2">
        <f t="shared" si="0"/>
        <v>0.62799999999999967</v>
      </c>
      <c r="E12" s="5">
        <f t="shared" si="1"/>
        <v>7.7611940298506869E-3</v>
      </c>
      <c r="F12" s="5">
        <f t="shared" si="2"/>
        <v>-4.4753853804079266E-3</v>
      </c>
      <c r="G12" s="2">
        <f t="shared" si="3"/>
        <v>3.3109999999999999</v>
      </c>
      <c r="H12" s="2">
        <f t="shared" si="4"/>
        <v>4.0482499999999995</v>
      </c>
    </row>
    <row r="13" spans="1:8" x14ac:dyDescent="0.35">
      <c r="A13" s="9" t="s">
        <v>19</v>
      </c>
      <c r="B13" s="2">
        <v>3.4529999999999998</v>
      </c>
      <c r="C13" s="2">
        <v>4.0279999999999996</v>
      </c>
      <c r="D13" s="2">
        <f t="shared" si="0"/>
        <v>0.57499999999999973</v>
      </c>
      <c r="E13" s="5">
        <f t="shared" si="1"/>
        <v>2.2808056872037904E-2</v>
      </c>
      <c r="F13" s="5">
        <f t="shared" si="2"/>
        <v>5.9940059940060001E-3</v>
      </c>
      <c r="G13" s="2">
        <f t="shared" si="3"/>
        <v>3.3569999999999998</v>
      </c>
      <c r="H13" s="2">
        <f t="shared" si="4"/>
        <v>4.0279999999999996</v>
      </c>
    </row>
    <row r="14" spans="1:8" x14ac:dyDescent="0.35">
      <c r="A14" s="9" t="s">
        <v>20</v>
      </c>
      <c r="B14" s="2">
        <v>3.5230000000000001</v>
      </c>
      <c r="C14" s="2">
        <v>4.0339999999999998</v>
      </c>
      <c r="D14" s="2">
        <f t="shared" si="0"/>
        <v>0.51099999999999968</v>
      </c>
      <c r="E14" s="5">
        <f t="shared" si="1"/>
        <v>2.027222704894303E-2</v>
      </c>
      <c r="F14" s="5">
        <f t="shared" si="2"/>
        <v>1.4895729890765214E-3</v>
      </c>
      <c r="G14" s="2">
        <f t="shared" si="3"/>
        <v>3.4255</v>
      </c>
      <c r="H14" s="2">
        <f t="shared" si="4"/>
        <v>4.0219999999999994</v>
      </c>
    </row>
    <row r="15" spans="1:8" x14ac:dyDescent="0.35">
      <c r="A15" s="9" t="s">
        <v>21</v>
      </c>
      <c r="B15" s="2">
        <v>3.5169999999999999</v>
      </c>
      <c r="C15" s="2">
        <v>3.996</v>
      </c>
      <c r="D15" s="2">
        <f t="shared" si="0"/>
        <v>0.47900000000000009</v>
      </c>
      <c r="E15" s="5">
        <f t="shared" si="1"/>
        <v>-1.7030939540165278E-3</v>
      </c>
      <c r="F15" s="5">
        <f t="shared" si="2"/>
        <v>-9.4199305899850799E-3</v>
      </c>
      <c r="G15" s="2">
        <f t="shared" si="3"/>
        <v>3.4672499999999999</v>
      </c>
      <c r="H15" s="2">
        <f t="shared" si="4"/>
        <v>4.0154999999999994</v>
      </c>
    </row>
    <row r="16" spans="1:8" x14ac:dyDescent="0.35">
      <c r="A16" s="9" t="s">
        <v>22</v>
      </c>
      <c r="B16" s="2">
        <v>3.5910000000000002</v>
      </c>
      <c r="C16" s="2">
        <v>4.0609999999999999</v>
      </c>
      <c r="D16" s="2">
        <f t="shared" si="0"/>
        <v>0.46999999999999975</v>
      </c>
      <c r="E16" s="5">
        <f t="shared" si="1"/>
        <v>2.1040659653113532E-2</v>
      </c>
      <c r="F16" s="5">
        <f t="shared" si="2"/>
        <v>1.6266266266266254E-2</v>
      </c>
      <c r="G16" s="2">
        <f t="shared" si="3"/>
        <v>3.5209999999999999</v>
      </c>
      <c r="H16" s="2">
        <f t="shared" si="4"/>
        <v>4.0297499999999999</v>
      </c>
    </row>
    <row r="17" spans="1:8" x14ac:dyDescent="0.35">
      <c r="A17" s="9" t="s">
        <v>23</v>
      </c>
      <c r="B17" s="2">
        <v>3.6280000000000001</v>
      </c>
      <c r="C17" s="2">
        <v>4.0149999999999997</v>
      </c>
      <c r="D17" s="2">
        <f t="shared" si="0"/>
        <v>0.38699999999999957</v>
      </c>
      <c r="E17" s="5">
        <f t="shared" si="1"/>
        <v>1.030353661932607E-2</v>
      </c>
      <c r="F17" s="5">
        <f t="shared" si="2"/>
        <v>-1.1327259295740031E-2</v>
      </c>
      <c r="G17" s="2">
        <f t="shared" si="3"/>
        <v>3.5647500000000001</v>
      </c>
      <c r="H17" s="2">
        <f t="shared" si="4"/>
        <v>4.0264999999999995</v>
      </c>
    </row>
    <row r="18" spans="1:8" x14ac:dyDescent="0.35">
      <c r="A18" s="9" t="s">
        <v>24</v>
      </c>
      <c r="B18" s="2">
        <v>3.6680000000000001</v>
      </c>
      <c r="C18" s="2">
        <v>3.992</v>
      </c>
      <c r="D18" s="2">
        <f t="shared" si="0"/>
        <v>0.32399999999999984</v>
      </c>
      <c r="E18" s="5">
        <f t="shared" si="1"/>
        <v>1.1025358324145544E-2</v>
      </c>
      <c r="F18" s="5">
        <f t="shared" si="2"/>
        <v>-5.728518057285103E-3</v>
      </c>
      <c r="G18" s="2">
        <f t="shared" si="3"/>
        <v>3.601</v>
      </c>
      <c r="H18" s="2">
        <f t="shared" si="4"/>
        <v>4.016</v>
      </c>
    </row>
    <row r="19" spans="1:8" x14ac:dyDescent="0.35">
      <c r="A19" s="9" t="s">
        <v>25</v>
      </c>
      <c r="B19" s="2">
        <v>3.653</v>
      </c>
      <c r="C19" s="2">
        <v>3.9470000000000001</v>
      </c>
      <c r="D19" s="2">
        <f t="shared" si="0"/>
        <v>0.29400000000000004</v>
      </c>
      <c r="E19" s="5">
        <f t="shared" si="1"/>
        <v>-4.0894220283533601E-3</v>
      </c>
      <c r="F19" s="5">
        <f t="shared" si="2"/>
        <v>-1.1272545090180342E-2</v>
      </c>
      <c r="G19" s="2">
        <f t="shared" si="3"/>
        <v>3.6350000000000002</v>
      </c>
      <c r="H19" s="2">
        <f t="shared" si="4"/>
        <v>4.0037500000000001</v>
      </c>
    </row>
    <row r="20" spans="1:8" x14ac:dyDescent="0.35">
      <c r="A20" s="9" t="s">
        <v>26</v>
      </c>
      <c r="B20" s="2">
        <v>3.6429999999999998</v>
      </c>
      <c r="C20" s="2">
        <v>3.8940000000000001</v>
      </c>
      <c r="D20" s="2">
        <f t="shared" si="0"/>
        <v>0.25100000000000033</v>
      </c>
      <c r="E20" s="5">
        <f t="shared" si="1"/>
        <v>-2.7374760470846513E-3</v>
      </c>
      <c r="F20" s="5">
        <f t="shared" si="2"/>
        <v>-1.3427919939194309E-2</v>
      </c>
      <c r="G20" s="2">
        <f t="shared" si="3"/>
        <v>3.6479999999999997</v>
      </c>
      <c r="H20" s="2">
        <f t="shared" si="4"/>
        <v>3.9620000000000002</v>
      </c>
    </row>
    <row r="21" spans="1:8" x14ac:dyDescent="0.35">
      <c r="A21" s="9" t="s">
        <v>27</v>
      </c>
      <c r="B21" s="2">
        <v>3.6080000000000001</v>
      </c>
      <c r="C21" s="2">
        <v>3.8479999999999999</v>
      </c>
      <c r="D21" s="2">
        <f t="shared" si="0"/>
        <v>0.23999999999999977</v>
      </c>
      <c r="E21" s="5">
        <f t="shared" si="1"/>
        <v>-9.607466373867609E-3</v>
      </c>
      <c r="F21" s="5">
        <f t="shared" si="2"/>
        <v>-1.1813045711350863E-2</v>
      </c>
      <c r="G21" s="2">
        <f t="shared" si="3"/>
        <v>3.6429999999999998</v>
      </c>
      <c r="H21" s="2">
        <f t="shared" si="4"/>
        <v>3.9202500000000002</v>
      </c>
    </row>
    <row r="22" spans="1:8" x14ac:dyDescent="0.35">
      <c r="A22" s="9" t="s">
        <v>28</v>
      </c>
      <c r="B22" s="2">
        <v>3.5840000000000001</v>
      </c>
      <c r="C22" s="2">
        <v>3.7890000000000001</v>
      </c>
      <c r="D22" s="2">
        <f t="shared" si="0"/>
        <v>0.20500000000000007</v>
      </c>
      <c r="E22" s="5">
        <f t="shared" si="1"/>
        <v>-6.6518847006651945E-3</v>
      </c>
      <c r="F22" s="5">
        <f t="shared" si="2"/>
        <v>-1.5332640332640261E-2</v>
      </c>
      <c r="G22" s="2">
        <f t="shared" si="3"/>
        <v>3.6219999999999999</v>
      </c>
      <c r="H22" s="2">
        <f t="shared" si="4"/>
        <v>3.8694999999999999</v>
      </c>
    </row>
    <row r="23" spans="1:8" x14ac:dyDescent="0.35">
      <c r="A23" s="9" t="s">
        <v>29</v>
      </c>
      <c r="B23" s="2">
        <v>3.577</v>
      </c>
      <c r="C23" s="2">
        <v>3.758</v>
      </c>
      <c r="D23" s="2">
        <f t="shared" si="0"/>
        <v>0.18100000000000005</v>
      </c>
      <c r="E23" s="5">
        <f t="shared" si="1"/>
        <v>-1.9531250000000325E-3</v>
      </c>
      <c r="F23" s="5">
        <f t="shared" si="2"/>
        <v>-8.1815782528371957E-3</v>
      </c>
      <c r="G23" s="2">
        <f t="shared" si="3"/>
        <v>3.6029999999999998</v>
      </c>
      <c r="H23" s="2">
        <f t="shared" si="4"/>
        <v>3.8222500000000004</v>
      </c>
    </row>
    <row r="24" spans="1:8" x14ac:dyDescent="0.35">
      <c r="A24" s="9" t="s">
        <v>30</v>
      </c>
      <c r="B24" s="2">
        <v>3.516</v>
      </c>
      <c r="C24" s="2">
        <v>3.726</v>
      </c>
      <c r="D24" s="2">
        <f t="shared" si="0"/>
        <v>0.20999999999999996</v>
      </c>
      <c r="E24" s="5">
        <f t="shared" si="1"/>
        <v>-1.7053396701146195E-2</v>
      </c>
      <c r="F24" s="5">
        <f t="shared" si="2"/>
        <v>-8.5151676423629672E-3</v>
      </c>
      <c r="G24" s="2">
        <f t="shared" si="3"/>
        <v>3.57125</v>
      </c>
      <c r="H24" s="2">
        <f t="shared" si="4"/>
        <v>3.7802499999999997</v>
      </c>
    </row>
    <row r="25" spans="1:8" x14ac:dyDescent="0.35">
      <c r="A25" s="9" t="s">
        <v>31</v>
      </c>
      <c r="B25" s="2">
        <v>3.4289999999999998</v>
      </c>
      <c r="C25" s="2">
        <v>3.6579999999999999</v>
      </c>
      <c r="D25" s="2">
        <f t="shared" si="0"/>
        <v>0.22900000000000009</v>
      </c>
      <c r="E25" s="5">
        <f t="shared" si="1"/>
        <v>-2.4744027303754319E-2</v>
      </c>
      <c r="F25" s="5">
        <f t="shared" si="2"/>
        <v>-1.8250134192163193E-2</v>
      </c>
      <c r="G25" s="2">
        <f t="shared" si="3"/>
        <v>3.5265</v>
      </c>
      <c r="H25" s="2">
        <f t="shared" si="4"/>
        <v>3.7327499999999998</v>
      </c>
    </row>
    <row r="26" spans="1:8" x14ac:dyDescent="0.35">
      <c r="A26" s="9" t="s">
        <v>32</v>
      </c>
      <c r="B26" s="2">
        <v>3.4350000000000001</v>
      </c>
      <c r="C26" s="2">
        <v>3.7349999999999999</v>
      </c>
      <c r="D26" s="2">
        <f t="shared" si="0"/>
        <v>0.29999999999999982</v>
      </c>
      <c r="E26" s="5">
        <f t="shared" si="1"/>
        <v>1.7497812773403989E-3</v>
      </c>
      <c r="F26" s="5">
        <f t="shared" si="2"/>
        <v>2.1049753963914695E-2</v>
      </c>
      <c r="G26" s="2">
        <f t="shared" si="3"/>
        <v>3.4892500000000002</v>
      </c>
      <c r="H26" s="2">
        <f t="shared" si="4"/>
        <v>3.7192499999999997</v>
      </c>
    </row>
    <row r="27" spans="1:8" x14ac:dyDescent="0.35">
      <c r="A27" s="9" t="s">
        <v>33</v>
      </c>
      <c r="B27" s="2">
        <v>3.4380000000000002</v>
      </c>
      <c r="C27" s="2">
        <v>3.7690000000000001</v>
      </c>
      <c r="D27" s="2">
        <f t="shared" si="0"/>
        <v>0.33099999999999996</v>
      </c>
      <c r="E27" s="5">
        <f t="shared" si="1"/>
        <v>8.7336244541488025E-4</v>
      </c>
      <c r="F27" s="5">
        <f t="shared" si="2"/>
        <v>9.1030789825971223E-3</v>
      </c>
      <c r="G27" s="2">
        <f t="shared" si="3"/>
        <v>3.4545000000000003</v>
      </c>
      <c r="H27" s="2">
        <f t="shared" si="4"/>
        <v>3.722</v>
      </c>
    </row>
    <row r="28" spans="1:8" x14ac:dyDescent="0.35">
      <c r="A28" s="9" t="s">
        <v>34</v>
      </c>
      <c r="B28" s="2">
        <v>3.4790000000000001</v>
      </c>
      <c r="C28" s="2">
        <v>3.8130000000000002</v>
      </c>
      <c r="D28" s="2">
        <f t="shared" si="0"/>
        <v>0.33400000000000007</v>
      </c>
      <c r="E28" s="5">
        <f t="shared" si="1"/>
        <v>1.1925538103548553E-2</v>
      </c>
      <c r="F28" s="5">
        <f t="shared" si="2"/>
        <v>1.1674184133722483E-2</v>
      </c>
      <c r="G28" s="2">
        <f t="shared" si="3"/>
        <v>3.4452499999999997</v>
      </c>
      <c r="H28" s="2">
        <f t="shared" si="4"/>
        <v>3.7437499999999999</v>
      </c>
    </row>
    <row r="29" spans="1:8" x14ac:dyDescent="0.35">
      <c r="A29" s="9" t="s">
        <v>35</v>
      </c>
      <c r="B29" s="2">
        <v>3.4889999999999999</v>
      </c>
      <c r="C29" s="2">
        <v>3.8650000000000002</v>
      </c>
      <c r="D29" s="2">
        <f t="shared" si="0"/>
        <v>0.37600000000000033</v>
      </c>
      <c r="E29" s="5">
        <f t="shared" si="1"/>
        <v>2.8743891922965756E-3</v>
      </c>
      <c r="F29" s="5">
        <f t="shared" si="2"/>
        <v>1.3637555730396026E-2</v>
      </c>
      <c r="G29" s="2">
        <f t="shared" si="3"/>
        <v>3.4602500000000003</v>
      </c>
      <c r="H29" s="2">
        <f t="shared" si="4"/>
        <v>3.7955000000000001</v>
      </c>
    </row>
    <row r="30" spans="1:8" x14ac:dyDescent="0.35">
      <c r="A30" s="9" t="s">
        <v>36</v>
      </c>
      <c r="B30" s="2">
        <v>3.496</v>
      </c>
      <c r="C30" s="2">
        <v>3.8260000000000001</v>
      </c>
      <c r="D30" s="2">
        <f t="shared" si="0"/>
        <v>0.33000000000000007</v>
      </c>
      <c r="E30" s="5">
        <f t="shared" si="1"/>
        <v>2.0063055316709997E-3</v>
      </c>
      <c r="F30" s="5">
        <f t="shared" si="2"/>
        <v>-1.0090556274256183E-2</v>
      </c>
      <c r="G30" s="2">
        <f t="shared" si="3"/>
        <v>3.4754999999999998</v>
      </c>
      <c r="H30" s="2">
        <f t="shared" si="4"/>
        <v>3.8182500000000004</v>
      </c>
    </row>
    <row r="31" spans="1:8" x14ac:dyDescent="0.35">
      <c r="A31" s="9" t="s">
        <v>37</v>
      </c>
      <c r="B31" s="2">
        <v>3.4710000000000001</v>
      </c>
      <c r="C31" s="2">
        <v>3.7789999999999999</v>
      </c>
      <c r="D31" s="2">
        <f t="shared" si="0"/>
        <v>0.30799999999999983</v>
      </c>
      <c r="E31" s="5">
        <f t="shared" si="1"/>
        <v>-7.1510297482837272E-3</v>
      </c>
      <c r="F31" s="5">
        <f t="shared" si="2"/>
        <v>-1.2284370099320478E-2</v>
      </c>
      <c r="G31" s="2">
        <f t="shared" si="3"/>
        <v>3.4837500000000001</v>
      </c>
      <c r="H31" s="2">
        <f t="shared" si="4"/>
        <v>3.8207500000000003</v>
      </c>
    </row>
    <row r="32" spans="1:8" x14ac:dyDescent="0.35">
      <c r="A32" s="9" t="s">
        <v>38</v>
      </c>
      <c r="B32" s="2">
        <v>3.484</v>
      </c>
      <c r="C32" s="2">
        <v>3.7679999999999998</v>
      </c>
      <c r="D32" s="2">
        <f t="shared" si="0"/>
        <v>0.28399999999999981</v>
      </c>
      <c r="E32" s="5">
        <f t="shared" si="1"/>
        <v>3.7453183520598965E-3</v>
      </c>
      <c r="F32" s="5">
        <f t="shared" si="2"/>
        <v>-2.9108229690394606E-3</v>
      </c>
      <c r="G32" s="2">
        <f t="shared" si="3"/>
        <v>3.4849999999999999</v>
      </c>
      <c r="H32" s="2">
        <f t="shared" si="4"/>
        <v>3.8094999999999999</v>
      </c>
    </row>
    <row r="33" spans="1:8" x14ac:dyDescent="0.35">
      <c r="A33" s="9" t="s">
        <v>39</v>
      </c>
      <c r="B33" s="2">
        <v>3.448</v>
      </c>
      <c r="C33" s="2">
        <v>3.7549999999999999</v>
      </c>
      <c r="D33" s="2">
        <f t="shared" si="0"/>
        <v>0.30699999999999994</v>
      </c>
      <c r="E33" s="5">
        <f t="shared" si="1"/>
        <v>-1.0332950631458103E-2</v>
      </c>
      <c r="F33" s="5">
        <f t="shared" si="2"/>
        <v>-3.4501061571125002E-3</v>
      </c>
      <c r="G33" s="2">
        <f t="shared" si="3"/>
        <v>3.4747500000000002</v>
      </c>
      <c r="H33" s="2">
        <f t="shared" si="4"/>
        <v>3.782</v>
      </c>
    </row>
    <row r="34" spans="1:8" x14ac:dyDescent="0.35">
      <c r="A34" s="9" t="s">
        <v>40</v>
      </c>
      <c r="B34" s="2">
        <v>3.4140000000000001</v>
      </c>
      <c r="C34" s="2">
        <v>3.7040000000000002</v>
      </c>
      <c r="D34" s="2">
        <f t="shared" ref="D34:D65" si="5">C34-B34</f>
        <v>0.29000000000000004</v>
      </c>
      <c r="E34" s="5">
        <f t="shared" si="1"/>
        <v>-9.8607888631089928E-3</v>
      </c>
      <c r="F34" s="5">
        <f t="shared" si="2"/>
        <v>-1.3581890812250256E-2</v>
      </c>
      <c r="G34" s="2">
        <f t="shared" si="3"/>
        <v>3.45425</v>
      </c>
      <c r="H34" s="2">
        <f t="shared" si="4"/>
        <v>3.7515000000000001</v>
      </c>
    </row>
    <row r="35" spans="1:8" x14ac:dyDescent="0.35">
      <c r="A35" s="9" t="s">
        <v>41</v>
      </c>
      <c r="B35" s="2">
        <v>3.3820000000000001</v>
      </c>
      <c r="C35" s="2">
        <v>3.6880000000000002</v>
      </c>
      <c r="D35" s="2">
        <f t="shared" si="5"/>
        <v>0.30600000000000005</v>
      </c>
      <c r="E35" s="5">
        <f t="shared" ref="E35:E66" si="6">(B35-B34)/B34</f>
        <v>-9.3731693028705418E-3</v>
      </c>
      <c r="F35" s="5">
        <f t="shared" ref="F35:F66" si="7">(C35-C34)/C34</f>
        <v>-4.3196544276457921E-3</v>
      </c>
      <c r="G35" s="2">
        <f t="shared" si="3"/>
        <v>3.4319999999999999</v>
      </c>
      <c r="H35" s="2">
        <f t="shared" si="4"/>
        <v>3.7287500000000002</v>
      </c>
    </row>
    <row r="36" spans="1:8" x14ac:dyDescent="0.35">
      <c r="A36" s="9" t="s">
        <v>42</v>
      </c>
      <c r="B36" s="2">
        <v>3.3130000000000002</v>
      </c>
      <c r="C36" s="2">
        <v>3.6509999999999998</v>
      </c>
      <c r="D36" s="2">
        <f t="shared" si="5"/>
        <v>0.33799999999999963</v>
      </c>
      <c r="E36" s="5">
        <f t="shared" si="6"/>
        <v>-2.0402128917800102E-2</v>
      </c>
      <c r="F36" s="5">
        <f t="shared" si="7"/>
        <v>-1.0032537960954546E-2</v>
      </c>
      <c r="G36" s="2">
        <f t="shared" si="3"/>
        <v>3.3892500000000001</v>
      </c>
      <c r="H36" s="2">
        <f t="shared" si="4"/>
        <v>3.6995</v>
      </c>
    </row>
    <row r="37" spans="1:8" x14ac:dyDescent="0.35">
      <c r="A37" s="9" t="s">
        <v>43</v>
      </c>
      <c r="B37" s="2">
        <v>3.2890000000000001</v>
      </c>
      <c r="C37" s="2">
        <v>3.625</v>
      </c>
      <c r="D37" s="2">
        <f t="shared" si="5"/>
        <v>0.33599999999999985</v>
      </c>
      <c r="E37" s="5">
        <f t="shared" si="6"/>
        <v>-7.2441895562933957E-3</v>
      </c>
      <c r="F37" s="5">
        <f t="shared" si="7"/>
        <v>-7.121336620104027E-3</v>
      </c>
      <c r="G37" s="2">
        <f t="shared" ref="G37:G68" si="8">AVERAGE(B34:B37)</f>
        <v>3.3494999999999999</v>
      </c>
      <c r="H37" s="2">
        <f t="shared" ref="H37:H68" si="9">AVERAGE(C34:C37)</f>
        <v>3.6669999999999998</v>
      </c>
    </row>
    <row r="38" spans="1:8" x14ac:dyDescent="0.35">
      <c r="A38" s="9" t="s">
        <v>44</v>
      </c>
      <c r="B38" s="2">
        <v>3.2360000000000002</v>
      </c>
      <c r="C38" s="2">
        <v>3.5550000000000002</v>
      </c>
      <c r="D38" s="2">
        <f t="shared" si="5"/>
        <v>0.31899999999999995</v>
      </c>
      <c r="E38" s="5">
        <f t="shared" si="6"/>
        <v>-1.6114320462146527E-2</v>
      </c>
      <c r="F38" s="5">
        <f t="shared" si="7"/>
        <v>-1.9310344827586163E-2</v>
      </c>
      <c r="G38" s="2">
        <f t="shared" si="8"/>
        <v>3.3050000000000002</v>
      </c>
      <c r="H38" s="2">
        <f t="shared" si="9"/>
        <v>3.62975</v>
      </c>
    </row>
    <row r="39" spans="1:8" x14ac:dyDescent="0.35">
      <c r="A39" s="9" t="s">
        <v>45</v>
      </c>
      <c r="B39" s="2">
        <v>3.18</v>
      </c>
      <c r="C39" s="2">
        <v>3.5259999999999998</v>
      </c>
      <c r="D39" s="2">
        <f t="shared" si="5"/>
        <v>0.34599999999999964</v>
      </c>
      <c r="E39" s="5">
        <f t="shared" si="6"/>
        <v>-1.7305315203955514E-2</v>
      </c>
      <c r="F39" s="5">
        <f t="shared" si="7"/>
        <v>-8.1575246132209161E-3</v>
      </c>
      <c r="G39" s="2">
        <f t="shared" si="8"/>
        <v>3.2545000000000002</v>
      </c>
      <c r="H39" s="2">
        <f t="shared" si="9"/>
        <v>3.5892499999999998</v>
      </c>
    </row>
    <row r="40" spans="1:8" x14ac:dyDescent="0.35">
      <c r="A40" s="9" t="s">
        <v>46</v>
      </c>
      <c r="B40" s="2">
        <v>3.1850000000000001</v>
      </c>
      <c r="C40" s="2">
        <v>3.5390000000000001</v>
      </c>
      <c r="D40" s="2">
        <f t="shared" si="5"/>
        <v>0.35400000000000009</v>
      </c>
      <c r="E40" s="5">
        <f t="shared" si="6"/>
        <v>1.5723270440251237E-3</v>
      </c>
      <c r="F40" s="5">
        <f t="shared" si="7"/>
        <v>3.6868973340897179E-3</v>
      </c>
      <c r="G40" s="2">
        <f t="shared" si="8"/>
        <v>3.2225000000000001</v>
      </c>
      <c r="H40" s="2">
        <f t="shared" si="9"/>
        <v>3.5612499999999998</v>
      </c>
    </row>
    <row r="41" spans="1:8" x14ac:dyDescent="0.35">
      <c r="A41" s="9" t="s">
        <v>47</v>
      </c>
      <c r="B41" s="2">
        <v>3.1789999999999998</v>
      </c>
      <c r="C41" s="2">
        <v>3.544</v>
      </c>
      <c r="D41" s="2">
        <f t="shared" si="5"/>
        <v>0.36500000000000021</v>
      </c>
      <c r="E41" s="5">
        <f t="shared" si="6"/>
        <v>-1.883830455259098E-3</v>
      </c>
      <c r="F41" s="5">
        <f t="shared" si="7"/>
        <v>1.4128284826221795E-3</v>
      </c>
      <c r="G41" s="2">
        <f t="shared" si="8"/>
        <v>3.1950000000000003</v>
      </c>
      <c r="H41" s="2">
        <f t="shared" si="9"/>
        <v>3.5409999999999999</v>
      </c>
    </row>
    <row r="42" spans="1:8" x14ac:dyDescent="0.35">
      <c r="A42" s="9" t="s">
        <v>48</v>
      </c>
      <c r="B42" s="2">
        <v>3.1360000000000001</v>
      </c>
      <c r="C42" s="2">
        <v>3.5840000000000001</v>
      </c>
      <c r="D42" s="2">
        <f t="shared" si="5"/>
        <v>0.44799999999999995</v>
      </c>
      <c r="E42" s="5">
        <f t="shared" si="6"/>
        <v>-1.3526266121421739E-2</v>
      </c>
      <c r="F42" s="5">
        <f t="shared" si="7"/>
        <v>1.1286681715575632E-2</v>
      </c>
      <c r="G42" s="2">
        <f t="shared" si="8"/>
        <v>3.17</v>
      </c>
      <c r="H42" s="2">
        <f t="shared" si="9"/>
        <v>3.5482499999999999</v>
      </c>
    </row>
    <row r="43" spans="1:8" x14ac:dyDescent="0.35">
      <c r="A43" s="9" t="s">
        <v>49</v>
      </c>
      <c r="B43" s="2">
        <v>3.1709999999999998</v>
      </c>
      <c r="C43" s="2">
        <v>3.6309999999999998</v>
      </c>
      <c r="D43" s="2">
        <f t="shared" si="5"/>
        <v>0.45999999999999996</v>
      </c>
      <c r="E43" s="5">
        <f t="shared" si="6"/>
        <v>1.1160714285714189E-2</v>
      </c>
      <c r="F43" s="5">
        <f t="shared" si="7"/>
        <v>1.3113839285714204E-2</v>
      </c>
      <c r="G43" s="2">
        <f t="shared" si="8"/>
        <v>3.1677499999999998</v>
      </c>
      <c r="H43" s="2">
        <f t="shared" si="9"/>
        <v>3.5745</v>
      </c>
    </row>
    <row r="44" spans="1:8" x14ac:dyDescent="0.35">
      <c r="A44" s="9" t="s">
        <v>50</v>
      </c>
      <c r="B44" s="2">
        <v>3.1440000000000001</v>
      </c>
      <c r="C44" s="2">
        <v>3.5529999999999999</v>
      </c>
      <c r="D44" s="2">
        <f t="shared" si="5"/>
        <v>0.40899999999999981</v>
      </c>
      <c r="E44" s="5">
        <f t="shared" si="6"/>
        <v>-8.5146641438031204E-3</v>
      </c>
      <c r="F44" s="5">
        <f t="shared" si="7"/>
        <v>-2.1481685486091945E-2</v>
      </c>
      <c r="G44" s="2">
        <f t="shared" si="8"/>
        <v>3.1574999999999998</v>
      </c>
      <c r="H44" s="2">
        <f t="shared" si="9"/>
        <v>3.5780000000000003</v>
      </c>
    </row>
    <row r="45" spans="1:8" x14ac:dyDescent="0.35">
      <c r="A45" s="9" t="s">
        <v>51</v>
      </c>
      <c r="B45" s="2">
        <v>3.097</v>
      </c>
      <c r="C45" s="2">
        <v>3.573</v>
      </c>
      <c r="D45" s="2">
        <f t="shared" si="5"/>
        <v>0.47599999999999998</v>
      </c>
      <c r="E45" s="5">
        <f t="shared" si="6"/>
        <v>-1.4949109414758318E-2</v>
      </c>
      <c r="F45" s="5">
        <f t="shared" si="7"/>
        <v>5.6290458767239001E-3</v>
      </c>
      <c r="G45" s="2">
        <f t="shared" si="8"/>
        <v>3.137</v>
      </c>
      <c r="H45" s="2">
        <f t="shared" si="9"/>
        <v>3.5852500000000003</v>
      </c>
    </row>
    <row r="46" spans="1:8" x14ac:dyDescent="0.35">
      <c r="A46" s="9" t="s">
        <v>52</v>
      </c>
      <c r="B46" s="2">
        <v>3.069</v>
      </c>
      <c r="C46" s="2">
        <v>3.536</v>
      </c>
      <c r="D46" s="2">
        <f t="shared" si="5"/>
        <v>0.46700000000000008</v>
      </c>
      <c r="E46" s="5">
        <f t="shared" si="6"/>
        <v>-9.0410074265418229E-3</v>
      </c>
      <c r="F46" s="5">
        <f t="shared" si="7"/>
        <v>-1.0355443604813859E-2</v>
      </c>
      <c r="G46" s="2">
        <f t="shared" si="8"/>
        <v>3.1202499999999995</v>
      </c>
      <c r="H46" s="2">
        <f t="shared" si="9"/>
        <v>3.5732499999999998</v>
      </c>
    </row>
    <row r="47" spans="1:8" x14ac:dyDescent="0.35">
      <c r="A47" s="9" t="s">
        <v>53</v>
      </c>
      <c r="B47" s="2">
        <v>3.052</v>
      </c>
      <c r="C47" s="2">
        <v>3.5209999999999999</v>
      </c>
      <c r="D47" s="2">
        <f t="shared" si="5"/>
        <v>0.46899999999999986</v>
      </c>
      <c r="E47" s="5">
        <f t="shared" si="6"/>
        <v>-5.5392636037797016E-3</v>
      </c>
      <c r="F47" s="5">
        <f t="shared" si="7"/>
        <v>-4.2420814479638361E-3</v>
      </c>
      <c r="G47" s="2">
        <f t="shared" si="8"/>
        <v>3.0904999999999996</v>
      </c>
      <c r="H47" s="2">
        <f t="shared" si="9"/>
        <v>3.54575</v>
      </c>
    </row>
    <row r="48" spans="1:8" x14ac:dyDescent="0.35">
      <c r="A48" s="9" t="s">
        <v>54</v>
      </c>
      <c r="B48" s="2">
        <v>3.0459999999999998</v>
      </c>
      <c r="C48" s="2">
        <v>3.4910000000000001</v>
      </c>
      <c r="D48" s="2">
        <f t="shared" si="5"/>
        <v>0.44500000000000028</v>
      </c>
      <c r="E48" s="5">
        <f t="shared" si="6"/>
        <v>-1.9659239842726825E-3</v>
      </c>
      <c r="F48" s="5">
        <f t="shared" si="7"/>
        <v>-8.5203067310422615E-3</v>
      </c>
      <c r="G48" s="2">
        <f t="shared" si="8"/>
        <v>3.0659999999999998</v>
      </c>
      <c r="H48" s="2">
        <f t="shared" si="9"/>
        <v>3.5302499999999997</v>
      </c>
    </row>
    <row r="49" spans="1:8" x14ac:dyDescent="0.35">
      <c r="A49" s="9" t="s">
        <v>55</v>
      </c>
      <c r="B49" s="2">
        <v>3.044</v>
      </c>
      <c r="C49" s="2">
        <v>3.5390000000000001</v>
      </c>
      <c r="D49" s="2">
        <f t="shared" si="5"/>
        <v>0.49500000000000011</v>
      </c>
      <c r="E49" s="5">
        <f t="shared" si="6"/>
        <v>-6.5659881812205512E-4</v>
      </c>
      <c r="F49" s="5">
        <f t="shared" si="7"/>
        <v>1.3749641936407918E-2</v>
      </c>
      <c r="G49" s="2">
        <f t="shared" si="8"/>
        <v>3.0527500000000001</v>
      </c>
      <c r="H49" s="2">
        <f t="shared" si="9"/>
        <v>3.5217499999999999</v>
      </c>
    </row>
    <row r="50" spans="1:8" x14ac:dyDescent="0.35">
      <c r="A50" s="9" t="s">
        <v>56</v>
      </c>
      <c r="B50" s="2">
        <v>3.0339999999999998</v>
      </c>
      <c r="C50" s="2">
        <v>3.54</v>
      </c>
      <c r="D50" s="2">
        <f t="shared" si="5"/>
        <v>0.50600000000000023</v>
      </c>
      <c r="E50" s="5">
        <f t="shared" si="6"/>
        <v>-3.2851511169514555E-3</v>
      </c>
      <c r="F50" s="5">
        <f t="shared" si="7"/>
        <v>2.8256569652441082E-4</v>
      </c>
      <c r="G50" s="2">
        <f t="shared" si="8"/>
        <v>3.0439999999999996</v>
      </c>
      <c r="H50" s="2">
        <f t="shared" si="9"/>
        <v>3.5227500000000003</v>
      </c>
    </row>
    <row r="51" spans="1:8" x14ac:dyDescent="0.35">
      <c r="A51" s="9" t="s">
        <v>57</v>
      </c>
      <c r="B51" s="2">
        <v>3.008</v>
      </c>
      <c r="C51" s="2">
        <v>3.4580000000000002</v>
      </c>
      <c r="D51" s="2">
        <f t="shared" si="5"/>
        <v>0.45000000000000018</v>
      </c>
      <c r="E51" s="5">
        <f t="shared" si="6"/>
        <v>-8.569545154910943E-3</v>
      </c>
      <c r="F51" s="5">
        <f t="shared" si="7"/>
        <v>-2.3163841807909563E-2</v>
      </c>
      <c r="G51" s="2">
        <f t="shared" si="8"/>
        <v>3.0329999999999995</v>
      </c>
      <c r="H51" s="2">
        <f t="shared" si="9"/>
        <v>3.5070000000000001</v>
      </c>
    </row>
    <row r="52" spans="1:8" x14ac:dyDescent="0.35">
      <c r="A52" s="9" t="s">
        <v>58</v>
      </c>
      <c r="B52" s="2">
        <v>3.016</v>
      </c>
      <c r="C52" s="2">
        <v>3.4940000000000002</v>
      </c>
      <c r="D52" s="2">
        <f t="shared" si="5"/>
        <v>0.4780000000000002</v>
      </c>
      <c r="E52" s="5">
        <f t="shared" si="6"/>
        <v>2.6595744680851089E-3</v>
      </c>
      <c r="F52" s="5">
        <f t="shared" si="7"/>
        <v>1.0410641989589367E-2</v>
      </c>
      <c r="G52" s="2">
        <f t="shared" si="8"/>
        <v>3.0254999999999996</v>
      </c>
      <c r="H52" s="2">
        <f t="shared" si="9"/>
        <v>3.5077500000000001</v>
      </c>
    </row>
    <row r="53" spans="1:8" x14ac:dyDescent="0.35">
      <c r="A53" s="9" t="s">
        <v>59</v>
      </c>
      <c r="B53" s="2">
        <v>3.024</v>
      </c>
      <c r="C53" s="2">
        <v>3.476</v>
      </c>
      <c r="D53" s="2">
        <f t="shared" si="5"/>
        <v>0.45199999999999996</v>
      </c>
      <c r="E53" s="5">
        <f t="shared" si="6"/>
        <v>2.6525198938992067E-3</v>
      </c>
      <c r="F53" s="5">
        <f t="shared" si="7"/>
        <v>-5.151688609044143E-3</v>
      </c>
      <c r="G53" s="2">
        <f t="shared" si="8"/>
        <v>3.0205000000000002</v>
      </c>
      <c r="H53" s="2">
        <f t="shared" si="9"/>
        <v>3.492</v>
      </c>
    </row>
    <row r="54" spans="1:8" x14ac:dyDescent="0.35">
      <c r="A54" s="9" t="s">
        <v>60</v>
      </c>
      <c r="B54" s="2">
        <v>3.0059999999999998</v>
      </c>
      <c r="C54" s="2">
        <v>3.5030000000000001</v>
      </c>
      <c r="D54" s="2">
        <f t="shared" si="5"/>
        <v>0.49700000000000033</v>
      </c>
      <c r="E54" s="5">
        <f t="shared" si="6"/>
        <v>-5.952380952381031E-3</v>
      </c>
      <c r="F54" s="5">
        <f t="shared" si="7"/>
        <v>7.7675489067894517E-3</v>
      </c>
      <c r="G54" s="2">
        <f t="shared" si="8"/>
        <v>3.0135000000000001</v>
      </c>
      <c r="H54" s="2">
        <f t="shared" si="9"/>
        <v>3.4827500000000002</v>
      </c>
    </row>
    <row r="55" spans="1:8" x14ac:dyDescent="0.35">
      <c r="A55" s="9" t="s">
        <v>61</v>
      </c>
      <c r="B55" s="2">
        <v>3.0470000000000002</v>
      </c>
      <c r="C55" s="2">
        <v>3.5609999999999999</v>
      </c>
      <c r="D55" s="2">
        <f t="shared" si="5"/>
        <v>0.51399999999999979</v>
      </c>
      <c r="E55" s="5">
        <f t="shared" si="6"/>
        <v>1.3639387890885021E-2</v>
      </c>
      <c r="F55" s="5">
        <f t="shared" si="7"/>
        <v>1.6557236654296269E-2</v>
      </c>
      <c r="G55" s="2">
        <f t="shared" si="8"/>
        <v>3.02325</v>
      </c>
      <c r="H55" s="2">
        <f t="shared" si="9"/>
        <v>3.5085000000000002</v>
      </c>
    </row>
    <row r="56" spans="1:8" x14ac:dyDescent="0.35">
      <c r="A56" s="9" t="s">
        <v>62</v>
      </c>
      <c r="B56" s="2">
        <v>3.0430000000000001</v>
      </c>
      <c r="C56" s="2">
        <v>3.6019999999999999</v>
      </c>
      <c r="D56" s="2">
        <f t="shared" si="5"/>
        <v>0.55899999999999972</v>
      </c>
      <c r="E56" s="5">
        <f t="shared" si="6"/>
        <v>-1.3127666557269455E-3</v>
      </c>
      <c r="F56" s="5">
        <f t="shared" si="7"/>
        <v>1.1513619769727583E-2</v>
      </c>
      <c r="G56" s="2">
        <f t="shared" si="8"/>
        <v>3.0300000000000002</v>
      </c>
      <c r="H56" s="2">
        <f t="shared" si="9"/>
        <v>3.5354999999999999</v>
      </c>
    </row>
    <row r="57" spans="1:8" x14ac:dyDescent="0.35">
      <c r="A57" s="9" t="s">
        <v>63</v>
      </c>
      <c r="B57" s="2">
        <v>3.109</v>
      </c>
      <c r="C57" s="2">
        <v>3.7149999999999999</v>
      </c>
      <c r="D57" s="2">
        <f t="shared" si="5"/>
        <v>0.60599999999999987</v>
      </c>
      <c r="E57" s="5">
        <f t="shared" si="6"/>
        <v>2.1689122576404807E-2</v>
      </c>
      <c r="F57" s="5">
        <f t="shared" si="7"/>
        <v>3.1371460299833426E-2</v>
      </c>
      <c r="G57" s="2">
        <f t="shared" si="8"/>
        <v>3.05125</v>
      </c>
      <c r="H57" s="2">
        <f t="shared" si="9"/>
        <v>3.5952500000000001</v>
      </c>
    </row>
    <row r="58" spans="1:8" x14ac:dyDescent="0.35">
      <c r="A58" s="9" t="s">
        <v>64</v>
      </c>
      <c r="B58" s="2">
        <v>3.1030000000000002</v>
      </c>
      <c r="C58" s="2">
        <v>3.6589999999999998</v>
      </c>
      <c r="D58" s="2">
        <f t="shared" si="5"/>
        <v>0.55599999999999961</v>
      </c>
      <c r="E58" s="5">
        <f t="shared" si="6"/>
        <v>-1.9298809906721723E-3</v>
      </c>
      <c r="F58" s="5">
        <f t="shared" si="7"/>
        <v>-1.5074024226110377E-2</v>
      </c>
      <c r="G58" s="2">
        <f t="shared" si="8"/>
        <v>3.0754999999999999</v>
      </c>
      <c r="H58" s="2">
        <f t="shared" si="9"/>
        <v>3.6342499999999998</v>
      </c>
    </row>
    <row r="59" spans="1:8" x14ac:dyDescent="0.35">
      <c r="A59" s="9" t="s">
        <v>65</v>
      </c>
      <c r="B59" s="2">
        <v>3.0819999999999999</v>
      </c>
      <c r="C59" s="2">
        <v>3.66</v>
      </c>
      <c r="D59" s="2">
        <f t="shared" si="5"/>
        <v>0.57800000000000029</v>
      </c>
      <c r="E59" s="5">
        <f t="shared" si="6"/>
        <v>-6.7676442152756529E-3</v>
      </c>
      <c r="F59" s="5">
        <f t="shared" si="7"/>
        <v>2.7329871549612843E-4</v>
      </c>
      <c r="G59" s="2">
        <f t="shared" si="8"/>
        <v>3.0842499999999999</v>
      </c>
      <c r="H59" s="2">
        <f t="shared" si="9"/>
        <v>3.6589999999999998</v>
      </c>
    </row>
    <row r="60" spans="1:8" x14ac:dyDescent="0.35">
      <c r="A60" s="9" t="s">
        <v>66</v>
      </c>
      <c r="B60" s="2">
        <v>3.1280000000000001</v>
      </c>
      <c r="C60" s="2">
        <v>3.665</v>
      </c>
      <c r="D60" s="2">
        <f t="shared" si="5"/>
        <v>0.53699999999999992</v>
      </c>
      <c r="E60" s="5">
        <f t="shared" si="6"/>
        <v>1.4925373134328445E-2</v>
      </c>
      <c r="F60" s="5">
        <f t="shared" si="7"/>
        <v>1.3661202185792057E-3</v>
      </c>
      <c r="G60" s="2">
        <f t="shared" si="8"/>
        <v>3.1055000000000001</v>
      </c>
      <c r="H60" s="2">
        <f t="shared" si="9"/>
        <v>3.6747499999999995</v>
      </c>
    </row>
    <row r="61" spans="1:8" x14ac:dyDescent="0.35">
      <c r="A61" s="9" t="s">
        <v>67</v>
      </c>
      <c r="B61" s="2">
        <v>3.1480000000000001</v>
      </c>
      <c r="C61" s="2">
        <v>3.677</v>
      </c>
      <c r="D61" s="2">
        <f t="shared" si="5"/>
        <v>0.52899999999999991</v>
      </c>
      <c r="E61" s="5">
        <f t="shared" si="6"/>
        <v>6.3938618925831253E-3</v>
      </c>
      <c r="F61" s="5">
        <f t="shared" si="7"/>
        <v>3.2742155525238774E-3</v>
      </c>
      <c r="G61" s="2">
        <f t="shared" si="8"/>
        <v>3.1152500000000001</v>
      </c>
      <c r="H61" s="2">
        <f t="shared" si="9"/>
        <v>3.6652499999999999</v>
      </c>
    </row>
    <row r="62" spans="1:8" x14ac:dyDescent="0.35">
      <c r="A62" s="9" t="s">
        <v>68</v>
      </c>
      <c r="B62" s="2">
        <v>3.125</v>
      </c>
      <c r="C62" s="2">
        <v>3.6970000000000001</v>
      </c>
      <c r="D62" s="2">
        <f t="shared" si="5"/>
        <v>0.57200000000000006</v>
      </c>
      <c r="E62" s="5">
        <f t="shared" si="6"/>
        <v>-7.3062261753494701E-3</v>
      </c>
      <c r="F62" s="5">
        <f t="shared" si="7"/>
        <v>5.4392167527876033E-3</v>
      </c>
      <c r="G62" s="2">
        <f t="shared" si="8"/>
        <v>3.1207500000000001</v>
      </c>
      <c r="H62" s="2">
        <f t="shared" si="9"/>
        <v>3.6747500000000004</v>
      </c>
    </row>
    <row r="63" spans="1:8" x14ac:dyDescent="0.35">
      <c r="A63" s="9" t="s">
        <v>69</v>
      </c>
      <c r="B63" s="2">
        <v>3.0779999999999998</v>
      </c>
      <c r="C63" s="2">
        <v>3.6349999999999998</v>
      </c>
      <c r="D63" s="2">
        <f t="shared" si="5"/>
        <v>0.55699999999999994</v>
      </c>
      <c r="E63" s="5">
        <f t="shared" si="6"/>
        <v>-1.5040000000000048E-2</v>
      </c>
      <c r="F63" s="5">
        <f t="shared" si="7"/>
        <v>-1.6770354341357933E-2</v>
      </c>
      <c r="G63" s="2">
        <f t="shared" si="8"/>
        <v>3.1197499999999998</v>
      </c>
      <c r="H63" s="2">
        <f t="shared" si="9"/>
        <v>3.6685000000000003</v>
      </c>
    </row>
    <row r="64" spans="1:8" x14ac:dyDescent="0.35">
      <c r="A64" s="9" t="s">
        <v>70</v>
      </c>
      <c r="B64" s="2">
        <v>3.069</v>
      </c>
      <c r="C64" s="2">
        <v>3.5819999999999999</v>
      </c>
      <c r="D64" s="2">
        <f t="shared" si="5"/>
        <v>0.5129999999999999</v>
      </c>
      <c r="E64" s="5">
        <f t="shared" si="6"/>
        <v>-2.9239766081871014E-3</v>
      </c>
      <c r="F64" s="5">
        <f t="shared" si="7"/>
        <v>-1.458046767537825E-2</v>
      </c>
      <c r="G64" s="2">
        <f t="shared" si="8"/>
        <v>3.1049999999999995</v>
      </c>
      <c r="H64" s="2">
        <f t="shared" si="9"/>
        <v>3.6477500000000003</v>
      </c>
    </row>
    <row r="65" spans="1:8" x14ac:dyDescent="0.35">
      <c r="A65" s="9" t="s">
        <v>71</v>
      </c>
      <c r="B65" s="2">
        <v>3.0579999999999998</v>
      </c>
      <c r="C65" s="2">
        <v>3.5489999999999999</v>
      </c>
      <c r="D65" s="2">
        <f t="shared" si="5"/>
        <v>0.4910000000000001</v>
      </c>
      <c r="E65" s="5">
        <f t="shared" si="6"/>
        <v>-3.584229390681043E-3</v>
      </c>
      <c r="F65" s="5">
        <f t="shared" si="7"/>
        <v>-9.2127303182579345E-3</v>
      </c>
      <c r="G65" s="2">
        <f t="shared" si="8"/>
        <v>3.0824999999999996</v>
      </c>
      <c r="H65" s="2">
        <f t="shared" si="9"/>
        <v>3.6157499999999998</v>
      </c>
    </row>
    <row r="66" spans="1:8" x14ac:dyDescent="0.35">
      <c r="A66" s="9" t="s">
        <v>72</v>
      </c>
      <c r="B66" s="2">
        <v>3.1150000000000002</v>
      </c>
      <c r="C66" s="2">
        <v>3.5670000000000002</v>
      </c>
      <c r="D66" s="2">
        <f t="shared" ref="D66:D97" si="10">C66-B66</f>
        <v>0.45199999999999996</v>
      </c>
      <c r="E66" s="5">
        <f t="shared" si="6"/>
        <v>1.8639633747547544E-2</v>
      </c>
      <c r="F66" s="5">
        <f t="shared" si="7"/>
        <v>5.0718512256974465E-3</v>
      </c>
      <c r="G66" s="2">
        <f t="shared" si="8"/>
        <v>3.08</v>
      </c>
      <c r="H66" s="2">
        <f t="shared" si="9"/>
        <v>3.58325</v>
      </c>
    </row>
    <row r="67" spans="1:8" x14ac:dyDescent="0.35">
      <c r="A67" s="9" t="s">
        <v>73</v>
      </c>
      <c r="B67" s="2">
        <v>3.1619999999999999</v>
      </c>
      <c r="C67" s="2">
        <v>3.5920000000000001</v>
      </c>
      <c r="D67" s="2">
        <f t="shared" si="10"/>
        <v>0.43000000000000016</v>
      </c>
      <c r="E67" s="5">
        <f t="shared" ref="E67:E98" si="11">(B67-B66)/B66</f>
        <v>1.5088282504012746E-2</v>
      </c>
      <c r="F67" s="5">
        <f t="shared" ref="F67:F98" si="12">(C67-C66)/C66</f>
        <v>7.0086907765629126E-3</v>
      </c>
      <c r="G67" s="2">
        <f t="shared" si="8"/>
        <v>3.101</v>
      </c>
      <c r="H67" s="2">
        <f t="shared" si="9"/>
        <v>3.5725000000000002</v>
      </c>
    </row>
    <row r="68" spans="1:8" x14ac:dyDescent="0.35">
      <c r="A68" s="9" t="s">
        <v>74</v>
      </c>
      <c r="B68" s="2">
        <v>3.2429999999999999</v>
      </c>
      <c r="C68" s="2">
        <v>3.6389999999999998</v>
      </c>
      <c r="D68" s="2">
        <f t="shared" si="10"/>
        <v>0.39599999999999991</v>
      </c>
      <c r="E68" s="5">
        <f t="shared" si="11"/>
        <v>2.5616698292220103E-2</v>
      </c>
      <c r="F68" s="5">
        <f t="shared" si="12"/>
        <v>1.3084632516703705E-2</v>
      </c>
      <c r="G68" s="2">
        <f t="shared" si="8"/>
        <v>3.1445000000000003</v>
      </c>
      <c r="H68" s="2">
        <f t="shared" si="9"/>
        <v>3.5867499999999999</v>
      </c>
    </row>
    <row r="69" spans="1:8" x14ac:dyDescent="0.35">
      <c r="A69" s="9" t="s">
        <v>75</v>
      </c>
      <c r="B69" s="2">
        <v>3.1680000000000001</v>
      </c>
      <c r="C69" s="2">
        <v>3.5790000000000002</v>
      </c>
      <c r="D69" s="2">
        <f t="shared" si="10"/>
        <v>0.41100000000000003</v>
      </c>
      <c r="E69" s="5">
        <f t="shared" si="11"/>
        <v>-2.3126734505087801E-2</v>
      </c>
      <c r="F69" s="5">
        <f t="shared" si="12"/>
        <v>-1.6488046166529161E-2</v>
      </c>
      <c r="G69" s="2">
        <f t="shared" ref="G69:G100" si="13">AVERAGE(B66:B69)</f>
        <v>3.1719999999999997</v>
      </c>
      <c r="H69" s="2">
        <f t="shared" ref="H69:H100" si="14">AVERAGE(C66:C69)</f>
        <v>3.5942500000000002</v>
      </c>
    </row>
    <row r="70" spans="1:8" x14ac:dyDescent="0.35">
      <c r="A70" s="9" t="s">
        <v>76</v>
      </c>
      <c r="B70" s="2">
        <v>3.141</v>
      </c>
      <c r="C70" s="2">
        <v>3.5339999999999998</v>
      </c>
      <c r="D70" s="2">
        <f t="shared" si="10"/>
        <v>0.39299999999999979</v>
      </c>
      <c r="E70" s="5">
        <f t="shared" si="11"/>
        <v>-8.5227272727273155E-3</v>
      </c>
      <c r="F70" s="5">
        <f t="shared" si="12"/>
        <v>-1.2573344509639667E-2</v>
      </c>
      <c r="G70" s="2">
        <f t="shared" si="13"/>
        <v>3.1785000000000001</v>
      </c>
      <c r="H70" s="2">
        <f t="shared" si="14"/>
        <v>3.5860000000000003</v>
      </c>
    </row>
    <row r="71" spans="1:8" x14ac:dyDescent="0.35">
      <c r="A71" s="9" t="s">
        <v>77</v>
      </c>
      <c r="B71" s="2">
        <v>3.133</v>
      </c>
      <c r="C71" s="2">
        <v>3.5139999999999998</v>
      </c>
      <c r="D71" s="2">
        <f t="shared" si="10"/>
        <v>0.38099999999999978</v>
      </c>
      <c r="E71" s="5">
        <f t="shared" si="11"/>
        <v>-2.5469595670168758E-3</v>
      </c>
      <c r="F71" s="5">
        <f t="shared" si="12"/>
        <v>-5.6593095642331693E-3</v>
      </c>
      <c r="G71" s="2">
        <f t="shared" si="13"/>
        <v>3.1712499999999997</v>
      </c>
      <c r="H71" s="2">
        <f t="shared" si="14"/>
        <v>3.5664999999999996</v>
      </c>
    </row>
    <row r="72" spans="1:8" x14ac:dyDescent="0.35">
      <c r="A72" s="9" t="s">
        <v>78</v>
      </c>
      <c r="B72" s="2">
        <v>3.1469999999999998</v>
      </c>
      <c r="C72" s="2">
        <v>3.4969999999999999</v>
      </c>
      <c r="D72" s="2">
        <f t="shared" si="10"/>
        <v>0.35000000000000009</v>
      </c>
      <c r="E72" s="5">
        <f t="shared" si="11"/>
        <v>4.4685604851579285E-3</v>
      </c>
      <c r="F72" s="5">
        <f t="shared" si="12"/>
        <v>-4.8377916903813052E-3</v>
      </c>
      <c r="G72" s="2">
        <f t="shared" si="13"/>
        <v>3.1472500000000001</v>
      </c>
      <c r="H72" s="2">
        <f t="shared" si="14"/>
        <v>3.5309999999999997</v>
      </c>
    </row>
    <row r="73" spans="1:8" x14ac:dyDescent="0.35">
      <c r="A73" s="9" t="s">
        <v>79</v>
      </c>
      <c r="B73" s="2">
        <v>3.12</v>
      </c>
      <c r="C73" s="2">
        <v>3.476</v>
      </c>
      <c r="D73" s="2">
        <f t="shared" si="10"/>
        <v>0.35599999999999987</v>
      </c>
      <c r="E73" s="5">
        <f t="shared" si="11"/>
        <v>-8.5795996186843644E-3</v>
      </c>
      <c r="F73" s="5">
        <f t="shared" si="12"/>
        <v>-6.0051472690877631E-3</v>
      </c>
      <c r="G73" s="2">
        <f t="shared" si="13"/>
        <v>3.1352500000000001</v>
      </c>
      <c r="H73" s="2">
        <f t="shared" si="14"/>
        <v>3.5052500000000002</v>
      </c>
    </row>
    <row r="74" spans="1:8" x14ac:dyDescent="0.35">
      <c r="A74" s="9" t="s">
        <v>80</v>
      </c>
      <c r="B74" s="2">
        <v>3.173</v>
      </c>
      <c r="C74" s="2">
        <v>3.536</v>
      </c>
      <c r="D74" s="2">
        <f t="shared" si="10"/>
        <v>0.36299999999999999</v>
      </c>
      <c r="E74" s="5">
        <f t="shared" si="11"/>
        <v>1.6987179487179465E-2</v>
      </c>
      <c r="F74" s="5">
        <f t="shared" si="12"/>
        <v>1.7261219792865379E-2</v>
      </c>
      <c r="G74" s="2">
        <f t="shared" si="13"/>
        <v>3.1432499999999997</v>
      </c>
      <c r="H74" s="2">
        <f t="shared" si="14"/>
        <v>3.5057499999999995</v>
      </c>
    </row>
    <row r="75" spans="1:8" x14ac:dyDescent="0.35">
      <c r="A75" s="9" t="s">
        <v>81</v>
      </c>
      <c r="B75" s="2">
        <v>3.16</v>
      </c>
      <c r="C75" s="2">
        <v>3.4870000000000001</v>
      </c>
      <c r="D75" s="2">
        <f t="shared" si="10"/>
        <v>0.32699999999999996</v>
      </c>
      <c r="E75" s="5">
        <f t="shared" si="11"/>
        <v>-4.0970690198549953E-3</v>
      </c>
      <c r="F75" s="5">
        <f t="shared" si="12"/>
        <v>-1.3857466063348397E-2</v>
      </c>
      <c r="G75" s="2">
        <f t="shared" si="13"/>
        <v>3.15</v>
      </c>
      <c r="H75" s="2">
        <f t="shared" si="14"/>
        <v>3.4990000000000001</v>
      </c>
    </row>
    <row r="76" spans="1:8" x14ac:dyDescent="0.35">
      <c r="A76" s="9" t="s">
        <v>82</v>
      </c>
      <c r="B76" s="2">
        <v>3.1269999999999998</v>
      </c>
      <c r="C76" s="2">
        <v>3.4510000000000001</v>
      </c>
      <c r="D76" s="2">
        <f t="shared" si="10"/>
        <v>0.32400000000000029</v>
      </c>
      <c r="E76" s="5">
        <f t="shared" si="11"/>
        <v>-1.0443037974683659E-2</v>
      </c>
      <c r="F76" s="5">
        <f t="shared" si="12"/>
        <v>-1.0324060797246926E-2</v>
      </c>
      <c r="G76" s="2">
        <f t="shared" si="13"/>
        <v>3.1449999999999996</v>
      </c>
      <c r="H76" s="2">
        <f t="shared" si="14"/>
        <v>3.4875000000000003</v>
      </c>
    </row>
    <row r="77" spans="1:8" x14ac:dyDescent="0.35">
      <c r="A77" s="9" t="s">
        <v>83</v>
      </c>
      <c r="B77" s="2">
        <v>3.1080000000000001</v>
      </c>
      <c r="C77" s="2">
        <v>3.4710000000000001</v>
      </c>
      <c r="D77" s="2">
        <f t="shared" si="10"/>
        <v>0.36299999999999999</v>
      </c>
      <c r="E77" s="5">
        <f t="shared" si="11"/>
        <v>-6.0761112887750832E-3</v>
      </c>
      <c r="F77" s="5">
        <f t="shared" si="12"/>
        <v>5.7954216169226365E-3</v>
      </c>
      <c r="G77" s="2">
        <f t="shared" si="13"/>
        <v>3.1420000000000003</v>
      </c>
      <c r="H77" s="2">
        <f t="shared" si="14"/>
        <v>3.4862500000000001</v>
      </c>
    </row>
    <row r="78" spans="1:8" x14ac:dyDescent="0.35">
      <c r="A78" s="9" t="s">
        <v>84</v>
      </c>
      <c r="B78" s="2">
        <v>3.1389999999999998</v>
      </c>
      <c r="C78" s="2">
        <v>3.5710000000000002</v>
      </c>
      <c r="D78" s="2">
        <f t="shared" si="10"/>
        <v>0.43200000000000038</v>
      </c>
      <c r="E78" s="5">
        <f t="shared" si="11"/>
        <v>9.9742599742598751E-3</v>
      </c>
      <c r="F78" s="5">
        <f t="shared" si="12"/>
        <v>2.8810141169691758E-2</v>
      </c>
      <c r="G78" s="2">
        <f t="shared" si="13"/>
        <v>3.1334999999999997</v>
      </c>
      <c r="H78" s="2">
        <f t="shared" si="14"/>
        <v>3.4950000000000001</v>
      </c>
    </row>
    <row r="79" spans="1:8" x14ac:dyDescent="0.35">
      <c r="A79" s="9" t="s">
        <v>85</v>
      </c>
      <c r="B79" s="2">
        <v>3.2130000000000001</v>
      </c>
      <c r="C79" s="2">
        <v>3.7749999999999999</v>
      </c>
      <c r="D79" s="2">
        <f t="shared" si="10"/>
        <v>0.56199999999999983</v>
      </c>
      <c r="E79" s="5">
        <f t="shared" si="11"/>
        <v>2.3574386747371869E-2</v>
      </c>
      <c r="F79" s="5">
        <f t="shared" si="12"/>
        <v>5.7126855222626637E-2</v>
      </c>
      <c r="G79" s="2">
        <f t="shared" si="13"/>
        <v>3.1467499999999999</v>
      </c>
      <c r="H79" s="2">
        <f t="shared" si="14"/>
        <v>3.5670000000000002</v>
      </c>
    </row>
    <row r="80" spans="1:8" x14ac:dyDescent="0.35">
      <c r="A80" s="9" t="s">
        <v>86</v>
      </c>
      <c r="B80" s="2">
        <v>3.1640000000000001</v>
      </c>
      <c r="C80" s="2">
        <v>3.7269999999999999</v>
      </c>
      <c r="D80" s="2">
        <f t="shared" si="10"/>
        <v>0.56299999999999972</v>
      </c>
      <c r="E80" s="5">
        <f t="shared" si="11"/>
        <v>-1.5250544662309348E-2</v>
      </c>
      <c r="F80" s="5">
        <f t="shared" si="12"/>
        <v>-1.2715231788079482E-2</v>
      </c>
      <c r="G80" s="2">
        <f t="shared" si="13"/>
        <v>3.1560000000000001</v>
      </c>
      <c r="H80" s="2">
        <f t="shared" si="14"/>
        <v>3.6360000000000001</v>
      </c>
    </row>
    <row r="81" spans="1:8" x14ac:dyDescent="0.35">
      <c r="A81" s="9" t="s">
        <v>87</v>
      </c>
      <c r="B81" s="2">
        <v>3.125</v>
      </c>
      <c r="C81" s="2">
        <v>3.7389999999999999</v>
      </c>
      <c r="D81" s="2">
        <f t="shared" si="10"/>
        <v>0.61399999999999988</v>
      </c>
      <c r="E81" s="5">
        <f t="shared" si="11"/>
        <v>-1.2326169405815469E-2</v>
      </c>
      <c r="F81" s="5">
        <f t="shared" si="12"/>
        <v>3.2197477864233997E-3</v>
      </c>
      <c r="G81" s="2">
        <f t="shared" si="13"/>
        <v>3.16025</v>
      </c>
      <c r="H81" s="2">
        <f t="shared" si="14"/>
        <v>3.7030000000000003</v>
      </c>
    </row>
    <row r="82" spans="1:8" x14ac:dyDescent="0.35">
      <c r="A82" s="9" t="s">
        <v>88</v>
      </c>
      <c r="B82" s="2">
        <v>3.13</v>
      </c>
      <c r="C82" s="2">
        <v>3.758</v>
      </c>
      <c r="D82" s="2">
        <f t="shared" si="10"/>
        <v>0.62800000000000011</v>
      </c>
      <c r="E82" s="5">
        <f t="shared" si="11"/>
        <v>1.5999999999999658E-3</v>
      </c>
      <c r="F82" s="5">
        <f t="shared" si="12"/>
        <v>5.0815726129981621E-3</v>
      </c>
      <c r="G82" s="2">
        <f t="shared" si="13"/>
        <v>3.1580000000000004</v>
      </c>
      <c r="H82" s="2">
        <f t="shared" si="14"/>
        <v>3.7497499999999997</v>
      </c>
    </row>
    <row r="83" spans="1:8" x14ac:dyDescent="0.35">
      <c r="A83" s="9" t="s">
        <v>89</v>
      </c>
      <c r="B83" s="2">
        <v>3.121</v>
      </c>
      <c r="C83" s="2">
        <v>3.8119999999999998</v>
      </c>
      <c r="D83" s="2">
        <f t="shared" si="10"/>
        <v>0.69099999999999984</v>
      </c>
      <c r="E83" s="5">
        <f t="shared" si="11"/>
        <v>-2.8753993610223312E-3</v>
      </c>
      <c r="F83" s="5">
        <f t="shared" si="12"/>
        <v>1.4369345396487447E-2</v>
      </c>
      <c r="G83" s="2">
        <f t="shared" si="13"/>
        <v>3.1350000000000002</v>
      </c>
      <c r="H83" s="2">
        <f t="shared" si="14"/>
        <v>3.7589999999999999</v>
      </c>
    </row>
    <row r="84" spans="1:8" x14ac:dyDescent="0.35">
      <c r="A84" s="9" t="s">
        <v>90</v>
      </c>
      <c r="B84" s="2">
        <v>3.1230000000000002</v>
      </c>
      <c r="C84" s="2">
        <v>3.8050000000000002</v>
      </c>
      <c r="D84" s="2">
        <f t="shared" si="10"/>
        <v>0.68199999999999994</v>
      </c>
      <c r="E84" s="5">
        <f t="shared" si="11"/>
        <v>6.4082024991996922E-4</v>
      </c>
      <c r="F84" s="5">
        <f t="shared" si="12"/>
        <v>-1.8363064008393686E-3</v>
      </c>
      <c r="G84" s="2">
        <f t="shared" si="13"/>
        <v>3.1247499999999997</v>
      </c>
      <c r="H84" s="2">
        <f t="shared" si="14"/>
        <v>3.7784999999999997</v>
      </c>
    </row>
    <row r="85" spans="1:8" x14ac:dyDescent="0.35">
      <c r="A85" s="9" t="s">
        <v>91</v>
      </c>
      <c r="B85" s="2">
        <v>3.14</v>
      </c>
      <c r="C85" s="2">
        <v>3.8</v>
      </c>
      <c r="D85" s="2">
        <f t="shared" si="10"/>
        <v>0.6599999999999997</v>
      </c>
      <c r="E85" s="5">
        <f t="shared" si="11"/>
        <v>5.4434838296509459E-3</v>
      </c>
      <c r="F85" s="5">
        <f t="shared" si="12"/>
        <v>-1.3140604467806406E-3</v>
      </c>
      <c r="G85" s="2">
        <f t="shared" si="13"/>
        <v>3.1284999999999998</v>
      </c>
      <c r="H85" s="2">
        <f t="shared" si="14"/>
        <v>3.7937500000000002</v>
      </c>
    </row>
    <row r="86" spans="1:8" x14ac:dyDescent="0.35">
      <c r="A86" s="9" t="s">
        <v>92</v>
      </c>
      <c r="B86" s="2">
        <v>3.1179999999999999</v>
      </c>
      <c r="C86" s="2">
        <v>3.754</v>
      </c>
      <c r="D86" s="2">
        <f t="shared" si="10"/>
        <v>0.63600000000000012</v>
      </c>
      <c r="E86" s="5">
        <f t="shared" si="11"/>
        <v>-7.0063694267516689E-3</v>
      </c>
      <c r="F86" s="5">
        <f t="shared" si="12"/>
        <v>-1.210526315789469E-2</v>
      </c>
      <c r="G86" s="2">
        <f t="shared" si="13"/>
        <v>3.1255000000000002</v>
      </c>
      <c r="H86" s="2">
        <f t="shared" si="14"/>
        <v>3.7927499999999998</v>
      </c>
    </row>
    <row r="87" spans="1:8" x14ac:dyDescent="0.35">
      <c r="A87" s="9" t="s">
        <v>93</v>
      </c>
      <c r="B87" s="2">
        <v>3.125</v>
      </c>
      <c r="C87" s="2">
        <v>3.7130000000000001</v>
      </c>
      <c r="D87" s="2">
        <f t="shared" si="10"/>
        <v>0.58800000000000008</v>
      </c>
      <c r="E87" s="5">
        <f t="shared" si="11"/>
        <v>2.2450288646568691E-3</v>
      </c>
      <c r="F87" s="5">
        <f t="shared" si="12"/>
        <v>-1.0921683537559916E-2</v>
      </c>
      <c r="G87" s="2">
        <f t="shared" si="13"/>
        <v>3.1265000000000001</v>
      </c>
      <c r="H87" s="2">
        <f t="shared" si="14"/>
        <v>3.7679999999999998</v>
      </c>
    </row>
    <row r="88" spans="1:8" x14ac:dyDescent="0.35">
      <c r="A88" s="9" t="s">
        <v>94</v>
      </c>
      <c r="B88" s="2">
        <v>3.1469999999999998</v>
      </c>
      <c r="C88" s="2">
        <v>3.7080000000000002</v>
      </c>
      <c r="D88" s="2">
        <f t="shared" si="10"/>
        <v>0.56100000000000039</v>
      </c>
      <c r="E88" s="5">
        <f t="shared" si="11"/>
        <v>7.0399999999999352E-3</v>
      </c>
      <c r="F88" s="5">
        <f t="shared" si="12"/>
        <v>-1.3466199838405315E-3</v>
      </c>
      <c r="G88" s="2">
        <f t="shared" si="13"/>
        <v>3.1324999999999998</v>
      </c>
      <c r="H88" s="2">
        <f t="shared" si="14"/>
        <v>3.7437499999999999</v>
      </c>
    </row>
    <row r="89" spans="1:8" x14ac:dyDescent="0.35">
      <c r="A89" s="9" t="s">
        <v>95</v>
      </c>
      <c r="B89" s="2">
        <v>3.177</v>
      </c>
      <c r="C89" s="2">
        <v>3.734</v>
      </c>
      <c r="D89" s="2">
        <f t="shared" si="10"/>
        <v>0.55699999999999994</v>
      </c>
      <c r="E89" s="5">
        <f t="shared" si="11"/>
        <v>9.5328884652050375E-3</v>
      </c>
      <c r="F89" s="5">
        <f t="shared" si="12"/>
        <v>7.0118662351671517E-3</v>
      </c>
      <c r="G89" s="2">
        <f t="shared" si="13"/>
        <v>3.14175</v>
      </c>
      <c r="H89" s="2">
        <f t="shared" si="14"/>
        <v>3.7272500000000002</v>
      </c>
    </row>
    <row r="90" spans="1:8" x14ac:dyDescent="0.35">
      <c r="A90" s="9" t="s">
        <v>96</v>
      </c>
      <c r="B90" s="2">
        <v>3.1920000000000002</v>
      </c>
      <c r="C90" s="2">
        <v>3.766</v>
      </c>
      <c r="D90" s="2">
        <f t="shared" si="10"/>
        <v>0.57399999999999984</v>
      </c>
      <c r="E90" s="5">
        <f t="shared" si="11"/>
        <v>4.721435316336205E-3</v>
      </c>
      <c r="F90" s="5">
        <f t="shared" si="12"/>
        <v>8.569898232458498E-3</v>
      </c>
      <c r="G90" s="2">
        <f t="shared" si="13"/>
        <v>3.16025</v>
      </c>
      <c r="H90" s="2">
        <f t="shared" si="14"/>
        <v>3.7302500000000003</v>
      </c>
    </row>
    <row r="91" spans="1:8" x14ac:dyDescent="0.35">
      <c r="A91" s="9" t="s">
        <v>97</v>
      </c>
      <c r="B91" s="2">
        <v>3.1680000000000001</v>
      </c>
      <c r="C91" s="2">
        <v>3.7389999999999999</v>
      </c>
      <c r="D91" s="2">
        <f t="shared" si="10"/>
        <v>0.57099999999999973</v>
      </c>
      <c r="E91" s="5">
        <f t="shared" si="11"/>
        <v>-7.5187969924812095E-3</v>
      </c>
      <c r="F91" s="5">
        <f t="shared" si="12"/>
        <v>-7.1694105151354579E-3</v>
      </c>
      <c r="G91" s="2">
        <f t="shared" si="13"/>
        <v>3.1710000000000003</v>
      </c>
      <c r="H91" s="2">
        <f t="shared" si="14"/>
        <v>3.7367499999999998</v>
      </c>
    </row>
    <row r="92" spans="1:8" x14ac:dyDescent="0.35">
      <c r="A92" s="9" t="s">
        <v>98</v>
      </c>
      <c r="B92" s="2">
        <v>3.173</v>
      </c>
      <c r="C92" s="2">
        <v>3.7490000000000001</v>
      </c>
      <c r="D92" s="2">
        <f t="shared" si="10"/>
        <v>0.57600000000000007</v>
      </c>
      <c r="E92" s="5">
        <f t="shared" si="11"/>
        <v>1.5782828282827946E-3</v>
      </c>
      <c r="F92" s="5">
        <f t="shared" si="12"/>
        <v>2.6745119015780237E-3</v>
      </c>
      <c r="G92" s="2">
        <f t="shared" si="13"/>
        <v>3.1774999999999998</v>
      </c>
      <c r="H92" s="2">
        <f t="shared" si="14"/>
        <v>3.7470000000000003</v>
      </c>
    </row>
    <row r="93" spans="1:8" x14ac:dyDescent="0.35">
      <c r="A93" s="9" t="s">
        <v>99</v>
      </c>
      <c r="B93" s="2">
        <v>3.1179999999999999</v>
      </c>
      <c r="C93" s="2">
        <v>3.754</v>
      </c>
      <c r="D93" s="2">
        <f t="shared" si="10"/>
        <v>0.63600000000000012</v>
      </c>
      <c r="E93" s="5">
        <f t="shared" si="11"/>
        <v>-1.7333753545540547E-2</v>
      </c>
      <c r="F93" s="5">
        <f t="shared" si="12"/>
        <v>1.3336889837289659E-3</v>
      </c>
      <c r="G93" s="2">
        <f t="shared" si="13"/>
        <v>3.1627500000000004</v>
      </c>
      <c r="H93" s="2">
        <f t="shared" si="14"/>
        <v>3.7519999999999998</v>
      </c>
    </row>
    <row r="94" spans="1:8" x14ac:dyDescent="0.35">
      <c r="A94" s="9" t="s">
        <v>100</v>
      </c>
      <c r="B94" s="2">
        <v>3.1240000000000001</v>
      </c>
      <c r="C94" s="2">
        <v>3.7109999999999999</v>
      </c>
      <c r="D94" s="2">
        <f t="shared" si="10"/>
        <v>0.58699999999999974</v>
      </c>
      <c r="E94" s="5">
        <f t="shared" si="11"/>
        <v>1.9243104554202142E-3</v>
      </c>
      <c r="F94" s="5">
        <f t="shared" si="12"/>
        <v>-1.1454448588172655E-2</v>
      </c>
      <c r="G94" s="2">
        <f t="shared" si="13"/>
        <v>3.14575</v>
      </c>
      <c r="H94" s="2">
        <f t="shared" si="14"/>
        <v>3.7382499999999999</v>
      </c>
    </row>
    <row r="95" spans="1:8" x14ac:dyDescent="0.35">
      <c r="A95" s="9" t="s">
        <v>101</v>
      </c>
      <c r="B95" s="2">
        <v>3.0609999999999999</v>
      </c>
      <c r="C95" s="2">
        <v>3.665</v>
      </c>
      <c r="D95" s="2">
        <f t="shared" si="10"/>
        <v>0.60400000000000009</v>
      </c>
      <c r="E95" s="5">
        <f t="shared" si="11"/>
        <v>-2.0166453265044865E-2</v>
      </c>
      <c r="F95" s="5">
        <f t="shared" si="12"/>
        <v>-1.2395580706009114E-2</v>
      </c>
      <c r="G95" s="2">
        <f t="shared" si="13"/>
        <v>3.1190000000000002</v>
      </c>
      <c r="H95" s="2">
        <f t="shared" si="14"/>
        <v>3.7197500000000003</v>
      </c>
    </row>
    <row r="96" spans="1:8" x14ac:dyDescent="0.35">
      <c r="A96" s="9" t="s">
        <v>102</v>
      </c>
      <c r="B96" s="2">
        <v>3.0190000000000001</v>
      </c>
      <c r="C96" s="2">
        <v>3.62</v>
      </c>
      <c r="D96" s="2">
        <f t="shared" si="10"/>
        <v>0.60099999999999998</v>
      </c>
      <c r="E96" s="5">
        <f t="shared" si="11"/>
        <v>-1.3721006207121796E-2</v>
      </c>
      <c r="F96" s="5">
        <f t="shared" si="12"/>
        <v>-1.2278308321964511E-2</v>
      </c>
      <c r="G96" s="2">
        <f t="shared" si="13"/>
        <v>3.0805000000000002</v>
      </c>
      <c r="H96" s="2">
        <f t="shared" si="14"/>
        <v>3.6875</v>
      </c>
    </row>
    <row r="97" spans="1:8" x14ac:dyDescent="0.35">
      <c r="A97" s="9" t="s">
        <v>103</v>
      </c>
      <c r="B97" s="2">
        <v>3.0350000000000001</v>
      </c>
      <c r="C97" s="2">
        <v>3.718</v>
      </c>
      <c r="D97" s="2">
        <f t="shared" si="10"/>
        <v>0.68299999999999983</v>
      </c>
      <c r="E97" s="5">
        <f t="shared" si="11"/>
        <v>5.2997681351440919E-3</v>
      </c>
      <c r="F97" s="5">
        <f t="shared" si="12"/>
        <v>2.7071823204419851E-2</v>
      </c>
      <c r="G97" s="2">
        <f t="shared" si="13"/>
        <v>3.0597500000000002</v>
      </c>
      <c r="H97" s="2">
        <f t="shared" si="14"/>
        <v>3.6784999999999997</v>
      </c>
    </row>
    <row r="98" spans="1:8" x14ac:dyDescent="0.35">
      <c r="A98" s="9" t="s">
        <v>104</v>
      </c>
      <c r="B98" s="2">
        <v>3.0190000000000001</v>
      </c>
      <c r="C98" s="2">
        <v>3.7530000000000001</v>
      </c>
      <c r="D98" s="2">
        <f t="shared" ref="D98:D129" si="15">C98-B98</f>
        <v>0.73399999999999999</v>
      </c>
      <c r="E98" s="5">
        <f t="shared" si="11"/>
        <v>-5.2718286655683731E-3</v>
      </c>
      <c r="F98" s="5">
        <f t="shared" si="12"/>
        <v>9.4136632598171444E-3</v>
      </c>
      <c r="G98" s="2">
        <f t="shared" si="13"/>
        <v>3.0335000000000001</v>
      </c>
      <c r="H98" s="2">
        <f t="shared" si="14"/>
        <v>3.6890000000000001</v>
      </c>
    </row>
    <row r="99" spans="1:8" x14ac:dyDescent="0.35">
      <c r="A99" s="9" t="s">
        <v>105</v>
      </c>
      <c r="B99" s="2">
        <v>3.056</v>
      </c>
      <c r="C99" s="2">
        <v>3.8370000000000002</v>
      </c>
      <c r="D99" s="2">
        <f t="shared" si="15"/>
        <v>0.78100000000000014</v>
      </c>
      <c r="E99" s="5">
        <f t="shared" ref="E99:E130" si="16">(B99-B98)/B98</f>
        <v>1.2255713812520675E-2</v>
      </c>
      <c r="F99" s="5">
        <f t="shared" ref="F99:F130" si="17">(C99-C98)/C98</f>
        <v>2.2382094324540386E-2</v>
      </c>
      <c r="G99" s="2">
        <f t="shared" si="13"/>
        <v>3.0322500000000003</v>
      </c>
      <c r="H99" s="2">
        <f t="shared" si="14"/>
        <v>3.7320000000000002</v>
      </c>
    </row>
    <row r="100" spans="1:8" x14ac:dyDescent="0.35">
      <c r="A100" s="9" t="s">
        <v>106</v>
      </c>
      <c r="B100" s="2">
        <v>3.0619999999999998</v>
      </c>
      <c r="C100" s="2">
        <v>3.8679999999999999</v>
      </c>
      <c r="D100" s="2">
        <f t="shared" si="15"/>
        <v>0.80600000000000005</v>
      </c>
      <c r="E100" s="5">
        <f t="shared" si="16"/>
        <v>1.9633507853402433E-3</v>
      </c>
      <c r="F100" s="5">
        <f t="shared" si="17"/>
        <v>8.0792285639821985E-3</v>
      </c>
      <c r="G100" s="2">
        <f t="shared" si="13"/>
        <v>3.0429999999999997</v>
      </c>
      <c r="H100" s="2">
        <f t="shared" si="14"/>
        <v>3.794</v>
      </c>
    </row>
    <row r="101" spans="1:8" x14ac:dyDescent="0.35">
      <c r="A101" s="9" t="s">
        <v>107</v>
      </c>
      <c r="B101" s="2">
        <v>3.0609999999999999</v>
      </c>
      <c r="C101" s="2">
        <v>3.831</v>
      </c>
      <c r="D101" s="2">
        <f t="shared" si="15"/>
        <v>0.77</v>
      </c>
      <c r="E101" s="5">
        <f t="shared" si="16"/>
        <v>-3.265839320705062E-4</v>
      </c>
      <c r="F101" s="5">
        <f t="shared" si="17"/>
        <v>-9.5656670113753676E-3</v>
      </c>
      <c r="G101" s="2">
        <f t="shared" ref="G101:G132" si="18">AVERAGE(B98:B101)</f>
        <v>3.0495000000000001</v>
      </c>
      <c r="H101" s="2">
        <f t="shared" ref="H101:H132" si="19">AVERAGE(C98:C101)</f>
        <v>3.8222499999999999</v>
      </c>
    </row>
    <row r="102" spans="1:8" x14ac:dyDescent="0.35">
      <c r="A102" s="9" t="s">
        <v>108</v>
      </c>
      <c r="B102" s="2">
        <v>2.9849999999999999</v>
      </c>
      <c r="C102" s="2">
        <v>3.758</v>
      </c>
      <c r="D102" s="2">
        <f t="shared" si="15"/>
        <v>0.77300000000000013</v>
      </c>
      <c r="E102" s="5">
        <f t="shared" si="16"/>
        <v>-2.4828487422410998E-2</v>
      </c>
      <c r="F102" s="5">
        <f t="shared" si="17"/>
        <v>-1.9055077003393359E-2</v>
      </c>
      <c r="G102" s="2">
        <f t="shared" si="18"/>
        <v>3.0409999999999999</v>
      </c>
      <c r="H102" s="2">
        <f t="shared" si="19"/>
        <v>3.8235000000000001</v>
      </c>
    </row>
    <row r="103" spans="1:8" x14ac:dyDescent="0.35">
      <c r="A103" s="9" t="s">
        <v>109</v>
      </c>
      <c r="B103" s="2">
        <v>2.94</v>
      </c>
      <c r="C103" s="2">
        <v>3.665</v>
      </c>
      <c r="D103" s="2">
        <f t="shared" si="15"/>
        <v>0.72500000000000009</v>
      </c>
      <c r="E103" s="5">
        <f t="shared" si="16"/>
        <v>-1.5075376884422087E-2</v>
      </c>
      <c r="F103" s="5">
        <f t="shared" si="17"/>
        <v>-2.474720596061734E-2</v>
      </c>
      <c r="G103" s="2">
        <f t="shared" si="18"/>
        <v>3.0119999999999996</v>
      </c>
      <c r="H103" s="2">
        <f t="shared" si="19"/>
        <v>3.7805</v>
      </c>
    </row>
    <row r="104" spans="1:8" x14ac:dyDescent="0.35">
      <c r="A104" s="9" t="s">
        <v>110</v>
      </c>
      <c r="B104" s="2">
        <v>2.895</v>
      </c>
      <c r="C104" s="2">
        <v>3.6070000000000002</v>
      </c>
      <c r="D104" s="2">
        <f t="shared" si="15"/>
        <v>0.71200000000000019</v>
      </c>
      <c r="E104" s="5">
        <f t="shared" si="16"/>
        <v>-1.5306122448979567E-2</v>
      </c>
      <c r="F104" s="5">
        <f t="shared" si="17"/>
        <v>-1.5825375170532015E-2</v>
      </c>
      <c r="G104" s="2">
        <f t="shared" si="18"/>
        <v>2.9702499999999996</v>
      </c>
      <c r="H104" s="2">
        <f t="shared" si="19"/>
        <v>3.7152500000000002</v>
      </c>
    </row>
    <row r="105" spans="1:8" x14ac:dyDescent="0.35">
      <c r="A105" s="9" t="s">
        <v>111</v>
      </c>
      <c r="B105" s="2">
        <v>2.8410000000000002</v>
      </c>
      <c r="C105" s="2">
        <v>3.544</v>
      </c>
      <c r="D105" s="2">
        <f t="shared" si="15"/>
        <v>0.70299999999999985</v>
      </c>
      <c r="E105" s="5">
        <f t="shared" si="16"/>
        <v>-1.8652849740932582E-2</v>
      </c>
      <c r="F105" s="5">
        <f t="shared" si="17"/>
        <v>-1.7466038258940993E-2</v>
      </c>
      <c r="G105" s="2">
        <f t="shared" si="18"/>
        <v>2.9152500000000003</v>
      </c>
      <c r="H105" s="2">
        <f t="shared" si="19"/>
        <v>3.6435000000000004</v>
      </c>
    </row>
    <row r="106" spans="1:8" x14ac:dyDescent="0.35">
      <c r="A106" s="9" t="s">
        <v>112</v>
      </c>
      <c r="B106" s="2">
        <v>2.8109999999999999</v>
      </c>
      <c r="C106" s="2">
        <v>3.5</v>
      </c>
      <c r="D106" s="2">
        <f t="shared" si="15"/>
        <v>0.68900000000000006</v>
      </c>
      <c r="E106" s="5">
        <f t="shared" si="16"/>
        <v>-1.0559662090813181E-2</v>
      </c>
      <c r="F106" s="5">
        <f t="shared" si="17"/>
        <v>-1.2415349887133194E-2</v>
      </c>
      <c r="G106" s="2">
        <f t="shared" si="18"/>
        <v>2.87175</v>
      </c>
      <c r="H106" s="2">
        <f t="shared" si="19"/>
        <v>3.5790000000000002</v>
      </c>
    </row>
    <row r="107" spans="1:8" x14ac:dyDescent="0.35">
      <c r="A107" s="9" t="s">
        <v>113</v>
      </c>
      <c r="B107" s="2">
        <v>2.7959999999999998</v>
      </c>
      <c r="C107" s="2">
        <v>3.4769999999999999</v>
      </c>
      <c r="D107" s="2">
        <f t="shared" si="15"/>
        <v>0.68100000000000005</v>
      </c>
      <c r="E107" s="5">
        <f t="shared" si="16"/>
        <v>-5.3361792956243773E-3</v>
      </c>
      <c r="F107" s="5">
        <f t="shared" si="17"/>
        <v>-6.5714285714286091E-3</v>
      </c>
      <c r="G107" s="2">
        <f t="shared" si="18"/>
        <v>2.83575</v>
      </c>
      <c r="H107" s="2">
        <f t="shared" si="19"/>
        <v>3.532</v>
      </c>
    </row>
    <row r="108" spans="1:8" x14ac:dyDescent="0.35">
      <c r="A108" s="9" t="s">
        <v>114</v>
      </c>
      <c r="B108" s="2">
        <v>2.7789999999999999</v>
      </c>
      <c r="C108" s="2">
        <v>3.4590000000000001</v>
      </c>
      <c r="D108" s="2">
        <f t="shared" si="15"/>
        <v>0.68000000000000016</v>
      </c>
      <c r="E108" s="5">
        <f t="shared" si="16"/>
        <v>-6.0801144492131278E-3</v>
      </c>
      <c r="F108" s="5">
        <f t="shared" si="17"/>
        <v>-5.1768766177738837E-3</v>
      </c>
      <c r="G108" s="2">
        <f t="shared" si="18"/>
        <v>2.8067500000000001</v>
      </c>
      <c r="H108" s="2">
        <f t="shared" si="19"/>
        <v>3.4950000000000001</v>
      </c>
    </row>
    <row r="109" spans="1:8" x14ac:dyDescent="0.35">
      <c r="A109" s="9" t="s">
        <v>115</v>
      </c>
      <c r="B109" s="2">
        <v>2.806</v>
      </c>
      <c r="C109" s="2">
        <v>3.53</v>
      </c>
      <c r="D109" s="2">
        <f t="shared" si="15"/>
        <v>0.72399999999999975</v>
      </c>
      <c r="E109" s="5">
        <f t="shared" si="16"/>
        <v>9.7157250809644241E-3</v>
      </c>
      <c r="F109" s="5">
        <f t="shared" si="17"/>
        <v>2.0526163631107177E-2</v>
      </c>
      <c r="G109" s="2">
        <f t="shared" si="18"/>
        <v>2.798</v>
      </c>
      <c r="H109" s="2">
        <f t="shared" si="19"/>
        <v>3.4914999999999998</v>
      </c>
    </row>
    <row r="110" spans="1:8" x14ac:dyDescent="0.35">
      <c r="A110" s="9" t="s">
        <v>116</v>
      </c>
      <c r="B110" s="2">
        <v>2.8530000000000002</v>
      </c>
      <c r="C110" s="2">
        <v>3.6240000000000001</v>
      </c>
      <c r="D110" s="2">
        <f t="shared" si="15"/>
        <v>0.77099999999999991</v>
      </c>
      <c r="E110" s="5">
        <f t="shared" si="16"/>
        <v>1.6749821810406327E-2</v>
      </c>
      <c r="F110" s="5">
        <f t="shared" si="17"/>
        <v>2.6628895184136064E-2</v>
      </c>
      <c r="G110" s="2">
        <f t="shared" si="18"/>
        <v>2.8085</v>
      </c>
      <c r="H110" s="2">
        <f t="shared" si="19"/>
        <v>3.5225</v>
      </c>
    </row>
    <row r="111" spans="1:8" x14ac:dyDescent="0.35">
      <c r="A111" s="9" t="s">
        <v>117</v>
      </c>
      <c r="B111" s="2">
        <v>2.867</v>
      </c>
      <c r="C111" s="2">
        <v>3.681</v>
      </c>
      <c r="D111" s="2">
        <f t="shared" si="15"/>
        <v>0.81400000000000006</v>
      </c>
      <c r="E111" s="5">
        <f t="shared" si="16"/>
        <v>4.9071153172098808E-3</v>
      </c>
      <c r="F111" s="5">
        <f t="shared" si="17"/>
        <v>1.5728476821192036E-2</v>
      </c>
      <c r="G111" s="2">
        <f t="shared" si="18"/>
        <v>2.8262499999999999</v>
      </c>
      <c r="H111" s="2">
        <f t="shared" si="19"/>
        <v>3.5735000000000001</v>
      </c>
    </row>
    <row r="112" spans="1:8" x14ac:dyDescent="0.35">
      <c r="A112" s="9" t="s">
        <v>118</v>
      </c>
      <c r="B112" s="2">
        <v>2.9020000000000001</v>
      </c>
      <c r="C112" s="2">
        <v>3.6880000000000002</v>
      </c>
      <c r="D112" s="2">
        <f t="shared" si="15"/>
        <v>0.78600000000000003</v>
      </c>
      <c r="E112" s="5">
        <f t="shared" si="16"/>
        <v>1.2207882804325129E-2</v>
      </c>
      <c r="F112" s="5">
        <f t="shared" si="17"/>
        <v>1.9016571583809067E-3</v>
      </c>
      <c r="G112" s="2">
        <f t="shared" si="18"/>
        <v>2.8570000000000002</v>
      </c>
      <c r="H112" s="2">
        <f t="shared" si="19"/>
        <v>3.6307500000000004</v>
      </c>
    </row>
    <row r="113" spans="1:8" x14ac:dyDescent="0.35">
      <c r="A113" s="9">
        <v>46069</v>
      </c>
      <c r="B113" s="2">
        <v>2.9239999999999999</v>
      </c>
      <c r="C113" s="2">
        <v>3.7109999999999999</v>
      </c>
      <c r="D113" s="2">
        <f t="shared" si="15"/>
        <v>0.78699999999999992</v>
      </c>
      <c r="E113" s="5">
        <f t="shared" si="16"/>
        <v>7.5809786354237756E-3</v>
      </c>
      <c r="F113" s="5">
        <f t="shared" si="17"/>
        <v>6.2364425162688957E-3</v>
      </c>
      <c r="G113" s="2">
        <f t="shared" si="18"/>
        <v>2.8864999999999998</v>
      </c>
      <c r="H113" s="2">
        <f t="shared" si="19"/>
        <v>3.6760000000000002</v>
      </c>
    </row>
    <row r="114" spans="1:8" x14ac:dyDescent="0.35">
      <c r="A114" s="9">
        <v>46076</v>
      </c>
      <c r="B114" s="2">
        <v>2.9369999999999998</v>
      </c>
      <c r="C114" s="2">
        <v>3.8090000000000002</v>
      </c>
      <c r="D114" s="2">
        <f t="shared" si="15"/>
        <v>0.87200000000000033</v>
      </c>
      <c r="E114" s="5">
        <f t="shared" si="16"/>
        <v>4.4459644322845078E-3</v>
      </c>
      <c r="F114" s="5">
        <f t="shared" si="17"/>
        <v>2.6407976286715255E-2</v>
      </c>
      <c r="G114" s="2">
        <f t="shared" si="18"/>
        <v>2.9074999999999998</v>
      </c>
      <c r="H114" s="2">
        <f t="shared" si="19"/>
        <v>3.7222499999999998</v>
      </c>
    </row>
    <row r="115" spans="1:8" x14ac:dyDescent="0.35">
      <c r="A115" s="9">
        <v>46083</v>
      </c>
      <c r="B115" s="2">
        <v>3.0150000000000001</v>
      </c>
      <c r="C115" s="2">
        <v>3.8969999999999998</v>
      </c>
      <c r="D115" s="2">
        <f t="shared" si="15"/>
        <v>0.88199999999999967</v>
      </c>
      <c r="E115" s="5">
        <f t="shared" si="16"/>
        <v>2.6557711950970477E-2</v>
      </c>
      <c r="F115" s="5">
        <f t="shared" si="17"/>
        <v>2.3103176686794336E-2</v>
      </c>
      <c r="G115" s="2">
        <f t="shared" si="18"/>
        <v>2.9445000000000001</v>
      </c>
      <c r="H115" s="2">
        <f t="shared" si="19"/>
        <v>3.7762500000000001</v>
      </c>
    </row>
    <row r="116" spans="1:8" x14ac:dyDescent="0.35">
      <c r="A116" s="9">
        <v>46090</v>
      </c>
      <c r="B116" s="2">
        <v>3.5019999999999998</v>
      </c>
      <c r="C116" s="2">
        <v>4.859</v>
      </c>
      <c r="D116" s="2">
        <f t="shared" si="15"/>
        <v>1.3570000000000002</v>
      </c>
      <c r="E116" s="5">
        <f t="shared" si="16"/>
        <v>0.16152570480928677</v>
      </c>
      <c r="F116" s="5">
        <f t="shared" si="17"/>
        <v>0.24685655632537856</v>
      </c>
      <c r="G116" s="2">
        <f t="shared" si="18"/>
        <v>3.0945</v>
      </c>
      <c r="H116" s="2">
        <f t="shared" si="19"/>
        <v>4.069</v>
      </c>
    </row>
    <row r="117" spans="1:8" x14ac:dyDescent="0.35">
      <c r="A117" s="9">
        <v>46097</v>
      </c>
      <c r="B117" s="2">
        <v>3.72</v>
      </c>
      <c r="C117" s="2">
        <v>5.0709999999999997</v>
      </c>
      <c r="D117" s="2">
        <f t="shared" si="15"/>
        <v>1.3509999999999995</v>
      </c>
      <c r="E117" s="5">
        <f t="shared" si="16"/>
        <v>6.2250142775556946E-2</v>
      </c>
      <c r="F117" s="5">
        <f t="shared" si="17"/>
        <v>4.3630376620703799E-2</v>
      </c>
      <c r="G117" s="2">
        <f t="shared" si="18"/>
        <v>3.2935000000000003</v>
      </c>
      <c r="H117" s="2">
        <f t="shared" si="19"/>
        <v>4.4089999999999998</v>
      </c>
    </row>
    <row r="118" spans="1:8" x14ac:dyDescent="0.35">
      <c r="A118" s="9">
        <v>46104</v>
      </c>
      <c r="B118" s="2">
        <v>3.9609999999999999</v>
      </c>
      <c r="C118" s="2">
        <v>5.375</v>
      </c>
      <c r="D118" s="2">
        <f t="shared" si="15"/>
        <v>1.4140000000000001</v>
      </c>
      <c r="E118" s="5">
        <f t="shared" si="16"/>
        <v>6.4784946236559046E-2</v>
      </c>
      <c r="F118" s="5">
        <f t="shared" si="17"/>
        <v>5.9948728061526381E-2</v>
      </c>
      <c r="G118" s="2">
        <f t="shared" si="18"/>
        <v>3.5495000000000001</v>
      </c>
      <c r="H118" s="2">
        <f t="shared" si="19"/>
        <v>4.8004999999999995</v>
      </c>
    </row>
    <row r="119" spans="1:8" x14ac:dyDescent="0.35">
      <c r="A119" s="9">
        <v>46111</v>
      </c>
      <c r="B119" s="2">
        <v>3.99</v>
      </c>
      <c r="C119" s="2">
        <v>5.4009999999999998</v>
      </c>
      <c r="D119" s="2">
        <f t="shared" si="15"/>
        <v>1.4109999999999996</v>
      </c>
      <c r="E119" s="5">
        <f t="shared" si="16"/>
        <v>7.3213834890180152E-3</v>
      </c>
      <c r="F119" s="5">
        <f t="shared" si="17"/>
        <v>4.8372093023255442E-3</v>
      </c>
      <c r="G119" s="2">
        <f t="shared" si="18"/>
        <v>3.79325</v>
      </c>
      <c r="H119" s="2">
        <f t="shared" si="19"/>
        <v>5.1764999999999999</v>
      </c>
    </row>
    <row r="120" spans="1:8" x14ac:dyDescent="0.35">
      <c r="A120" s="9">
        <v>46118</v>
      </c>
      <c r="B120" s="2">
        <v>4.12</v>
      </c>
      <c r="C120" s="2">
        <v>5.6429999999999998</v>
      </c>
      <c r="D120" s="2">
        <f t="shared" si="15"/>
        <v>1.5229999999999997</v>
      </c>
      <c r="E120" s="5">
        <f t="shared" si="16"/>
        <v>3.2581453634085183E-2</v>
      </c>
      <c r="F120" s="5">
        <f t="shared" si="17"/>
        <v>4.4806517311608965E-2</v>
      </c>
      <c r="G120" s="2">
        <f t="shared" si="18"/>
        <v>3.9477500000000001</v>
      </c>
      <c r="H120" s="2">
        <f t="shared" si="19"/>
        <v>5.3724999999999996</v>
      </c>
    </row>
    <row r="121" spans="1:8" x14ac:dyDescent="0.35">
      <c r="A121" s="9">
        <v>46125</v>
      </c>
      <c r="B121" s="2">
        <v>4.1230000000000002</v>
      </c>
      <c r="C121" s="2">
        <v>5.6079999999999997</v>
      </c>
      <c r="D121" s="2">
        <f t="shared" si="15"/>
        <v>1.4849999999999994</v>
      </c>
      <c r="E121" s="5">
        <f t="shared" si="16"/>
        <v>7.2815533980585281E-4</v>
      </c>
      <c r="F121" s="5">
        <f t="shared" si="17"/>
        <v>-6.2023746234272804E-3</v>
      </c>
      <c r="G121" s="2">
        <f t="shared" si="18"/>
        <v>4.0485000000000007</v>
      </c>
      <c r="H121" s="2">
        <f t="shared" si="19"/>
        <v>5.5067500000000003</v>
      </c>
    </row>
    <row r="122" spans="1:8" x14ac:dyDescent="0.35">
      <c r="A122" s="9">
        <v>46132</v>
      </c>
      <c r="B122" s="2">
        <v>4.0439999999999996</v>
      </c>
      <c r="C122" s="2">
        <v>5.4029999999999996</v>
      </c>
      <c r="D122" s="2">
        <f t="shared" si="15"/>
        <v>1.359</v>
      </c>
      <c r="E122" s="5">
        <f t="shared" si="16"/>
        <v>-1.9160805238903861E-2</v>
      </c>
      <c r="F122" s="5">
        <f t="shared" si="17"/>
        <v>-3.6554921540656218E-2</v>
      </c>
      <c r="G122" s="2">
        <f t="shared" si="18"/>
        <v>4.0692500000000003</v>
      </c>
      <c r="H122" s="2">
        <f t="shared" si="19"/>
        <v>5.5137499999999999</v>
      </c>
    </row>
    <row r="123" spans="1:8" x14ac:dyDescent="0.35">
      <c r="A123" s="9">
        <v>46139</v>
      </c>
      <c r="B123" s="2">
        <v>4.1230000000000002</v>
      </c>
      <c r="C123" s="2">
        <v>5.351</v>
      </c>
      <c r="D123" s="2">
        <f t="shared" si="15"/>
        <v>1.2279999999999998</v>
      </c>
      <c r="E123" s="5">
        <f t="shared" si="16"/>
        <v>1.9535113748763756E-2</v>
      </c>
      <c r="F123" s="5">
        <f t="shared" si="17"/>
        <v>-9.6242828058485299E-3</v>
      </c>
      <c r="G123" s="2">
        <f t="shared" si="18"/>
        <v>4.1025</v>
      </c>
      <c r="H123" s="2">
        <f t="shared" si="19"/>
        <v>5.5012499999999998</v>
      </c>
    </row>
    <row r="124" spans="1:8" x14ac:dyDescent="0.35">
      <c r="A124" s="9">
        <v>46146</v>
      </c>
      <c r="B124" s="2">
        <v>4.452</v>
      </c>
      <c r="C124" s="2">
        <v>5.64</v>
      </c>
      <c r="D124" s="2">
        <f t="shared" si="15"/>
        <v>1.1879999999999997</v>
      </c>
      <c r="E124" s="5">
        <f t="shared" si="16"/>
        <v>7.979626485568754E-2</v>
      </c>
      <c r="F124" s="5">
        <f t="shared" si="17"/>
        <v>5.4008596524014151E-2</v>
      </c>
      <c r="G124" s="2">
        <f t="shared" si="18"/>
        <v>4.1854999999999993</v>
      </c>
      <c r="H124" s="2">
        <f t="shared" si="19"/>
        <v>5.5004999999999997</v>
      </c>
    </row>
    <row r="125" spans="1:8" x14ac:dyDescent="0.35">
      <c r="A125" s="9">
        <v>46153</v>
      </c>
      <c r="B125" s="2">
        <v>4.5</v>
      </c>
      <c r="C125" s="2">
        <v>5.6390000000000002</v>
      </c>
      <c r="D125" s="2">
        <f t="shared" si="15"/>
        <v>1.1390000000000002</v>
      </c>
      <c r="E125" s="5">
        <f t="shared" si="16"/>
        <v>1.0781671159029659E-2</v>
      </c>
      <c r="F125" s="5">
        <f t="shared" si="17"/>
        <v>-1.7730496453890885E-4</v>
      </c>
      <c r="G125" s="2">
        <f t="shared" si="18"/>
        <v>4.2797499999999999</v>
      </c>
      <c r="H125" s="2">
        <f t="shared" si="19"/>
        <v>5.5082499999999994</v>
      </c>
    </row>
    <row r="126" spans="1:8" x14ac:dyDescent="0.35">
      <c r="A126" s="9">
        <v>46160</v>
      </c>
      <c r="B126" s="2">
        <v>4.49</v>
      </c>
      <c r="C126" s="2">
        <v>5.5960000000000001</v>
      </c>
      <c r="D126" s="2">
        <f t="shared" si="15"/>
        <v>1.1059999999999999</v>
      </c>
      <c r="E126" s="5">
        <f t="shared" si="16"/>
        <v>-2.2222222222221749E-3</v>
      </c>
      <c r="F126" s="5">
        <f t="shared" si="17"/>
        <v>-7.6254655080688323E-3</v>
      </c>
      <c r="G126" s="2">
        <f t="shared" si="18"/>
        <v>4.3912499999999994</v>
      </c>
      <c r="H126" s="2">
        <f t="shared" si="19"/>
        <v>5.5564999999999998</v>
      </c>
    </row>
    <row r="127" spans="1:8" x14ac:dyDescent="0.35">
      <c r="A127" s="9">
        <v>46167</v>
      </c>
      <c r="B127" s="2">
        <v>4.4749999999999996</v>
      </c>
      <c r="C127" s="2">
        <v>5.5229999999999997</v>
      </c>
      <c r="D127" s="2">
        <f t="shared" si="15"/>
        <v>1.048</v>
      </c>
      <c r="E127" s="5">
        <f t="shared" si="16"/>
        <v>-3.3407572383074759E-3</v>
      </c>
      <c r="F127" s="5">
        <f t="shared" si="17"/>
        <v>-1.3045032165832809E-2</v>
      </c>
      <c r="G127" s="2">
        <f t="shared" si="18"/>
        <v>4.4792500000000004</v>
      </c>
      <c r="H127" s="2">
        <f t="shared" si="19"/>
        <v>5.5994999999999999</v>
      </c>
    </row>
    <row r="128" spans="1:8" x14ac:dyDescent="0.35">
      <c r="A128" s="9">
        <v>46174</v>
      </c>
      <c r="B128" s="2">
        <v>4.3049999999999997</v>
      </c>
      <c r="C128" s="2">
        <v>5.35</v>
      </c>
      <c r="D128" s="2">
        <f t="shared" si="15"/>
        <v>1.0449999999999999</v>
      </c>
      <c r="E128" s="5">
        <f t="shared" si="16"/>
        <v>-3.7988826815642446E-2</v>
      </c>
      <c r="F128" s="5">
        <f t="shared" si="17"/>
        <v>-3.1323556038384943E-2</v>
      </c>
      <c r="G128" s="2">
        <f t="shared" si="18"/>
        <v>4.4424999999999999</v>
      </c>
      <c r="H128" s="2">
        <f t="shared" si="19"/>
        <v>5.5269999999999992</v>
      </c>
    </row>
    <row r="129" spans="1:8" x14ac:dyDescent="0.35">
      <c r="A129" s="9">
        <v>46181</v>
      </c>
      <c r="B129" s="2">
        <v>4.1459999999999999</v>
      </c>
      <c r="C129" s="2">
        <v>5.21</v>
      </c>
      <c r="D129" s="2">
        <f t="shared" si="15"/>
        <v>1.0640000000000001</v>
      </c>
      <c r="E129" s="5">
        <f t="shared" si="16"/>
        <v>-3.6933797909407623E-2</v>
      </c>
      <c r="F129" s="5">
        <f t="shared" si="17"/>
        <v>-2.6168224299065363E-2</v>
      </c>
      <c r="G129" s="2">
        <f t="shared" si="18"/>
        <v>4.3540000000000001</v>
      </c>
      <c r="H129" s="2">
        <f t="shared" si="19"/>
        <v>5.4197500000000005</v>
      </c>
    </row>
    <row r="130" spans="1:8" x14ac:dyDescent="0.35">
      <c r="A130" s="9">
        <v>46188</v>
      </c>
      <c r="B130" s="2">
        <v>4.0519999999999996</v>
      </c>
      <c r="C130" s="2">
        <v>5.0590000000000002</v>
      </c>
      <c r="D130" s="2">
        <f t="shared" ref="D130:D143" si="20">C130-B130</f>
        <v>1.0070000000000006</v>
      </c>
      <c r="E130" s="5">
        <f t="shared" si="16"/>
        <v>-2.2672455378678319E-2</v>
      </c>
      <c r="F130" s="5">
        <f t="shared" si="17"/>
        <v>-2.8982725527831057E-2</v>
      </c>
      <c r="G130" s="2">
        <f t="shared" si="18"/>
        <v>4.2444999999999995</v>
      </c>
      <c r="H130" s="2">
        <f t="shared" si="19"/>
        <v>5.2854999999999999</v>
      </c>
    </row>
    <row r="131" spans="1:8" x14ac:dyDescent="0.35">
      <c r="A131" s="9">
        <v>46195</v>
      </c>
      <c r="B131" s="2">
        <v>3.9140000000000001</v>
      </c>
      <c r="C131" s="2">
        <v>4.8319999999999999</v>
      </c>
      <c r="D131" s="2">
        <f t="shared" si="20"/>
        <v>0.91799999999999971</v>
      </c>
      <c r="E131" s="5">
        <f t="shared" ref="E131:E143" si="21">(B131-B130)/B130</f>
        <v>-3.4057255676209146E-2</v>
      </c>
      <c r="F131" s="5">
        <f t="shared" ref="F131:F143" si="22">(C131-C130)/C130</f>
        <v>-4.4870527772287075E-2</v>
      </c>
      <c r="G131" s="2">
        <f t="shared" si="18"/>
        <v>4.1042500000000004</v>
      </c>
      <c r="H131" s="2">
        <f t="shared" si="19"/>
        <v>5.1127500000000001</v>
      </c>
    </row>
    <row r="132" spans="1:8" x14ac:dyDescent="0.35">
      <c r="A132" s="9">
        <v>46202</v>
      </c>
      <c r="B132" s="2">
        <v>3.831</v>
      </c>
      <c r="C132" s="2">
        <v>4.6680000000000001</v>
      </c>
      <c r="D132" s="2">
        <f t="shared" si="20"/>
        <v>0.83700000000000019</v>
      </c>
      <c r="E132" s="5">
        <f t="shared" si="21"/>
        <v>-2.1205927439959169E-2</v>
      </c>
      <c r="F132" s="5">
        <f t="shared" si="22"/>
        <v>-3.3940397350993315E-2</v>
      </c>
      <c r="G132" s="2">
        <f t="shared" si="18"/>
        <v>3.9857499999999999</v>
      </c>
      <c r="H132" s="2">
        <f t="shared" si="19"/>
        <v>4.9422499999999996</v>
      </c>
    </row>
    <row r="133" spans="1:8" x14ac:dyDescent="0.35">
      <c r="A133" s="9">
        <v>46209</v>
      </c>
      <c r="B133" s="2">
        <v>3.7770000000000001</v>
      </c>
      <c r="C133" s="2">
        <v>4.5780000000000003</v>
      </c>
      <c r="D133" s="2">
        <f t="shared" si="20"/>
        <v>0.80100000000000016</v>
      </c>
      <c r="E133" s="5">
        <f t="shared" si="21"/>
        <v>-1.4095536413469023E-2</v>
      </c>
      <c r="F133" s="5">
        <f t="shared" si="22"/>
        <v>-1.9280205655526961E-2</v>
      </c>
      <c r="G133" s="2">
        <f t="shared" ref="G133:G143" si="23">AVERAGE(B130:B133)</f>
        <v>3.8934999999999995</v>
      </c>
      <c r="H133" s="2">
        <f t="shared" ref="H133:H143" si="24">AVERAGE(C130:C133)</f>
        <v>4.7842500000000001</v>
      </c>
    </row>
    <row r="134" spans="1:8" x14ac:dyDescent="0.35">
      <c r="A134" s="9">
        <v>46216</v>
      </c>
      <c r="B134" s="2">
        <v>3.855</v>
      </c>
      <c r="C134" s="2">
        <v>4.7960000000000003</v>
      </c>
      <c r="D134" s="2">
        <f t="shared" si="20"/>
        <v>0.94100000000000028</v>
      </c>
      <c r="E134" s="5">
        <f t="shared" si="21"/>
        <v>2.0651310563939592E-2</v>
      </c>
      <c r="F134" s="5">
        <f t="shared" si="22"/>
        <v>4.7619047619047609E-2</v>
      </c>
      <c r="G134" s="2">
        <f t="shared" si="23"/>
        <v>3.8442500000000002</v>
      </c>
      <c r="H134" s="2">
        <f t="shared" si="24"/>
        <v>4.7184999999999997</v>
      </c>
    </row>
    <row r="135" spans="1:8" x14ac:dyDescent="0.35">
      <c r="A135" s="9">
        <v>46223</v>
      </c>
      <c r="B135" s="2">
        <v>4.0010000000000003</v>
      </c>
      <c r="C135" s="2">
        <v>5.1340000000000003</v>
      </c>
      <c r="D135" s="2">
        <f t="shared" si="20"/>
        <v>1.133</v>
      </c>
      <c r="E135" s="5">
        <f t="shared" si="21"/>
        <v>3.7872892347600613E-2</v>
      </c>
      <c r="F135" s="5">
        <f t="shared" si="22"/>
        <v>7.0475396163469567E-2</v>
      </c>
      <c r="G135" s="2">
        <f t="shared" si="23"/>
        <v>3.8660000000000005</v>
      </c>
      <c r="H135" s="2">
        <f t="shared" si="24"/>
        <v>4.7940000000000005</v>
      </c>
    </row>
    <row r="136" spans="1:8" x14ac:dyDescent="0.35">
      <c r="A136" s="9">
        <v>46230</v>
      </c>
      <c r="B136" s="2">
        <v>4.0960000000000001</v>
      </c>
      <c r="C136" s="2">
        <v>5.3129999999999997</v>
      </c>
      <c r="D136" s="2">
        <f t="shared" si="20"/>
        <v>1.2169999999999996</v>
      </c>
      <c r="E136" s="5">
        <f t="shared" si="21"/>
        <v>2.3744063984003933E-2</v>
      </c>
      <c r="F136" s="5">
        <f t="shared" si="22"/>
        <v>3.4865601869886902E-2</v>
      </c>
      <c r="G136" s="2">
        <f t="shared" si="23"/>
        <v>3.9322499999999998</v>
      </c>
      <c r="H136" s="2">
        <f t="shared" si="24"/>
        <v>4.9552500000000004</v>
      </c>
    </row>
    <row r="137" spans="1:8" x14ac:dyDescent="0.35">
      <c r="A137" s="9">
        <v>46237</v>
      </c>
      <c r="B137" s="2">
        <v>4.0789999999999997</v>
      </c>
      <c r="C137" s="2">
        <v>5.3479999999999999</v>
      </c>
      <c r="D137" s="2">
        <f t="shared" si="20"/>
        <v>1.2690000000000001</v>
      </c>
      <c r="E137" s="5">
        <f t="shared" si="21"/>
        <v>-4.150390625000085E-3</v>
      </c>
      <c r="F137" s="5">
        <f t="shared" si="22"/>
        <v>6.5876152832674839E-3</v>
      </c>
      <c r="G137" s="2">
        <f t="shared" si="23"/>
        <v>4.0077499999999997</v>
      </c>
      <c r="H137" s="2">
        <f t="shared" si="24"/>
        <v>5.1477499999999994</v>
      </c>
    </row>
    <row r="138" spans="1:8" x14ac:dyDescent="0.35">
      <c r="A138" s="9">
        <v>46244</v>
      </c>
      <c r="B138" s="2">
        <v>4.0060000000000002</v>
      </c>
      <c r="C138" s="2">
        <v>5.2569999999999997</v>
      </c>
      <c r="D138" s="2">
        <f t="shared" si="20"/>
        <v>1.2509999999999994</v>
      </c>
      <c r="E138" s="5">
        <f t="shared" si="21"/>
        <v>-1.7896543270409297E-2</v>
      </c>
      <c r="F138" s="5">
        <f t="shared" si="22"/>
        <v>-1.7015706806282758E-2</v>
      </c>
      <c r="G138" s="2">
        <f t="shared" si="23"/>
        <v>4.0455000000000005</v>
      </c>
      <c r="H138" s="2">
        <f t="shared" si="24"/>
        <v>5.2629999999999999</v>
      </c>
    </row>
    <row r="139" spans="1:8" x14ac:dyDescent="0.35">
      <c r="A139" s="9">
        <v>46251</v>
      </c>
      <c r="B139" s="2">
        <v>4.0490000000000004</v>
      </c>
      <c r="C139" s="2">
        <v>5.4539999999999997</v>
      </c>
      <c r="D139" s="2">
        <f t="shared" si="20"/>
        <v>1.4049999999999994</v>
      </c>
      <c r="E139" s="5">
        <f t="shared" si="21"/>
        <v>1.0733899151273128E-2</v>
      </c>
      <c r="F139" s="5">
        <f t="shared" si="22"/>
        <v>3.7473844397945613E-2</v>
      </c>
      <c r="G139" s="2">
        <f t="shared" si="23"/>
        <v>4.0575000000000001</v>
      </c>
      <c r="H139" s="2">
        <f t="shared" si="24"/>
        <v>5.343</v>
      </c>
    </row>
    <row r="140" spans="1:8" x14ac:dyDescent="0.35">
      <c r="A140" s="9">
        <v>46258</v>
      </c>
      <c r="B140" s="2">
        <v>4.085</v>
      </c>
      <c r="C140" s="2">
        <v>5.6520000000000001</v>
      </c>
      <c r="D140" s="2">
        <f t="shared" si="20"/>
        <v>1.5670000000000002</v>
      </c>
      <c r="E140" s="5">
        <f t="shared" si="21"/>
        <v>8.8910842183254103E-3</v>
      </c>
      <c r="F140" s="5">
        <f t="shared" si="22"/>
        <v>3.6303630363036375E-2</v>
      </c>
      <c r="G140" s="2">
        <f t="shared" si="23"/>
        <v>4.0547500000000003</v>
      </c>
      <c r="H140" s="2">
        <f t="shared" si="24"/>
        <v>5.4277500000000005</v>
      </c>
    </row>
    <row r="141" spans="1:8" x14ac:dyDescent="0.35">
      <c r="A141" s="9">
        <v>46265</v>
      </c>
      <c r="B141" s="2">
        <v>4.0709999999999997</v>
      </c>
      <c r="C141" s="2">
        <v>5.5990000000000002</v>
      </c>
      <c r="D141" s="2">
        <f t="shared" si="20"/>
        <v>1.5280000000000005</v>
      </c>
      <c r="E141" s="5">
        <f t="shared" si="21"/>
        <v>-3.4271725826193963E-3</v>
      </c>
      <c r="F141" s="5">
        <f t="shared" si="22"/>
        <v>-9.3772116065109577E-3</v>
      </c>
      <c r="G141" s="2">
        <f t="shared" si="23"/>
        <v>4.0527499999999996</v>
      </c>
      <c r="H141" s="2">
        <f t="shared" si="24"/>
        <v>5.4904999999999999</v>
      </c>
    </row>
    <row r="142" spans="1:8" x14ac:dyDescent="0.35">
      <c r="A142" s="9">
        <v>46272</v>
      </c>
      <c r="B142" s="2">
        <v>4.157</v>
      </c>
      <c r="C142" s="2">
        <v>5.9669999999999996</v>
      </c>
      <c r="D142" s="2">
        <f t="shared" si="20"/>
        <v>1.8099999999999996</v>
      </c>
      <c r="E142" s="5">
        <f t="shared" si="21"/>
        <v>2.1125030704986565E-2</v>
      </c>
      <c r="F142" s="5">
        <f t="shared" si="22"/>
        <v>6.5726022504018475E-2</v>
      </c>
      <c r="G142" s="2">
        <f t="shared" si="23"/>
        <v>4.0905000000000005</v>
      </c>
      <c r="H142" s="2">
        <f t="shared" si="24"/>
        <v>5.6679999999999993</v>
      </c>
    </row>
    <row r="143" spans="1:8" x14ac:dyDescent="0.35">
      <c r="A143" s="9">
        <v>46279</v>
      </c>
      <c r="B143" s="2">
        <v>4.319</v>
      </c>
      <c r="C143" s="2">
        <v>6.2850000000000001</v>
      </c>
      <c r="D143" s="2">
        <f t="shared" si="20"/>
        <v>1.9660000000000002</v>
      </c>
      <c r="E143" s="5">
        <f t="shared" si="21"/>
        <v>3.8970411354342052E-2</v>
      </c>
      <c r="F143" s="5">
        <f t="shared" si="22"/>
        <v>5.3293112116641617E-2</v>
      </c>
      <c r="G143" s="2">
        <f t="shared" si="23"/>
        <v>4.1579999999999995</v>
      </c>
      <c r="H143" s="2">
        <f t="shared" si="24"/>
        <v>5.87575</v>
      </c>
    </row>
    <row r="144" spans="1:8" x14ac:dyDescent="0.35">
      <c r="A144" s="9">
        <v>46286</v>
      </c>
      <c r="B144" s="2">
        <v>4.4779999999999998</v>
      </c>
      <c r="C144" s="2">
        <v>6.5289999999999999</v>
      </c>
      <c r="D144" s="2">
        <f t="shared" ref="D144:D145" si="25">C144-B144</f>
        <v>2.0510000000000002</v>
      </c>
      <c r="E144" s="5">
        <f t="shared" ref="E144:E145" si="26">(B144-B143)/B143</f>
        <v>3.6814077332715862E-2</v>
      </c>
      <c r="F144" s="5">
        <f t="shared" ref="F144:F145" si="27">(C144-C143)/C143</f>
        <v>3.8822593476531386E-2</v>
      </c>
      <c r="G144" s="2">
        <f t="shared" ref="G144:G145" si="28">AVERAGE(B141:B144)</f>
        <v>4.2562499999999996</v>
      </c>
      <c r="H144" s="2">
        <f t="shared" ref="H144:H145" si="29">AVERAGE(C141:C144)</f>
        <v>6.0949999999999998</v>
      </c>
    </row>
    <row r="145" spans="1:8" x14ac:dyDescent="0.35">
      <c r="A145" s="9">
        <v>46293</v>
      </c>
      <c r="B145" s="2">
        <v>4.4649999999999999</v>
      </c>
      <c r="C145" s="2">
        <v>6.3819999999999997</v>
      </c>
      <c r="D145" s="2">
        <f t="shared" si="25"/>
        <v>1.9169999999999998</v>
      </c>
      <c r="E145" s="5">
        <f t="shared" si="26"/>
        <v>-2.9030817329164585E-3</v>
      </c>
      <c r="F145" s="5">
        <f t="shared" si="27"/>
        <v>-2.2514933374176788E-2</v>
      </c>
      <c r="G145" s="2">
        <f t="shared" si="28"/>
        <v>4.3547499999999992</v>
      </c>
      <c r="H145" s="2">
        <f t="shared" si="29"/>
        <v>6.2907499999999992</v>
      </c>
    </row>
    <row r="146" spans="1:8" ht="15.5" x14ac:dyDescent="0.35">
      <c r="A146" s="6" t="s">
        <v>119</v>
      </c>
    </row>
    <row r="147" spans="1:8" x14ac:dyDescent="0.35">
      <c r="A147" s="7" t="s">
        <v>120</v>
      </c>
      <c r="B147" s="8">
        <f>B143</f>
        <v>4.319</v>
      </c>
    </row>
    <row r="148" spans="1:8" x14ac:dyDescent="0.35">
      <c r="A148" s="7" t="s">
        <v>121</v>
      </c>
      <c r="B148" s="8">
        <f>C143</f>
        <v>6.2850000000000001</v>
      </c>
    </row>
    <row r="149" spans="1:8" x14ac:dyDescent="0.35">
      <c r="A149" s="7" t="s">
        <v>122</v>
      </c>
      <c r="B149" s="8">
        <f>D143</f>
        <v>1.9660000000000002</v>
      </c>
    </row>
    <row r="150" spans="1:8" x14ac:dyDescent="0.35">
      <c r="A150" s="7" t="s">
        <v>123</v>
      </c>
      <c r="B150" s="8">
        <f>AVERAGE(B2:B143)</f>
        <v>3.3541901408450707</v>
      </c>
    </row>
    <row r="151" spans="1:8" x14ac:dyDescent="0.35">
      <c r="A151" s="7" t="s">
        <v>124</v>
      </c>
      <c r="B151" s="8">
        <f>AVERAGE(C2:C143)</f>
        <v>4.02868309859155</v>
      </c>
    </row>
    <row r="152" spans="1:8" x14ac:dyDescent="0.35">
      <c r="A152" s="7" t="s">
        <v>125</v>
      </c>
      <c r="B152" s="8">
        <f>MAX(C2:C143)</f>
        <v>6.2850000000000001</v>
      </c>
    </row>
    <row r="153" spans="1:8" x14ac:dyDescent="0.35">
      <c r="A153" s="7" t="s">
        <v>126</v>
      </c>
      <c r="B153" s="8">
        <f>MIN(C2:C143)</f>
        <v>3.4510000000000001</v>
      </c>
    </row>
  </sheetData>
  <phoneticPr fontId="5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Villalobos, Luis A</cp:lastModifiedBy>
  <cp:revision>1</cp:revision>
  <dcterms:created xsi:type="dcterms:W3CDTF">2026-09-17T03:03:38Z</dcterms:created>
  <dcterms:modified xsi:type="dcterms:W3CDTF">2026-10-01T23:48:15Z</dcterms:modified>
  <dc:language>en-US</dc:language>
</cp:coreProperties>
</file>